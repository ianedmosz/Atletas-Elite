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35" documentId="11_E60897F41BE170836B02CE998F75CCDC64E183C8" xr6:coauthVersionLast="47" xr6:coauthVersionMax="47" xr10:uidLastSave="{84F4AB4F-ACED-4FD2-8AB7-AC65F7C278D7}"/>
  <bookViews>
    <workbookView xWindow="240" yWindow="105" windowWidth="14805" windowHeight="8010" xr2:uid="{00000000-000D-0000-FFFF-FFFF00000000}"/>
  </bookViews>
  <sheets>
    <sheet name="Sesio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 a="1"/>
  <c r="D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<sst xmlns="http://schemas.openxmlformats.org/spreadsheetml/2006/main" count="357" uniqueCount="91">
  <si>
    <t>ForceDecks Test Results Export</t>
  </si>
  <si>
    <t>Export Date</t>
  </si>
  <si>
    <t>Test Date</t>
  </si>
  <si>
    <t>Export Profile</t>
  </si>
  <si>
    <t>Evaluaciones Borregos CMJ</t>
  </si>
  <si>
    <t>Export Test Type</t>
  </si>
  <si>
    <t>Countermovement Jump</t>
  </si>
  <si>
    <t>Export Trials</t>
  </si>
  <si>
    <t>Results from all trials within a test, one row/column per trial</t>
  </si>
  <si>
    <t>Number of Atlhetes</t>
  </si>
  <si>
    <t>Forms ID</t>
  </si>
  <si>
    <t>C000 ID</t>
  </si>
  <si>
    <t>Athlete</t>
  </si>
  <si>
    <t>Date of Birth</t>
  </si>
  <si>
    <t>Género</t>
  </si>
  <si>
    <t>Disciplina</t>
  </si>
  <si>
    <t>Test Type</t>
  </si>
  <si>
    <t>Body Weight [kg]</t>
  </si>
  <si>
    <t>Trial</t>
  </si>
  <si>
    <t>Jump Height (Imp-Mom) [cm]</t>
  </si>
  <si>
    <t>Concentric Impulse (Left) [N s]</t>
  </si>
  <si>
    <t>Concentric Impulse (Right) [N s]</t>
  </si>
  <si>
    <t>Concentric RFD (Left) [N/s]</t>
  </si>
  <si>
    <t>Concentric RFD (Right) [N/s]</t>
  </si>
  <si>
    <t>Eccentric Braking RFD (Left) [N/s]</t>
  </si>
  <si>
    <t>Eccentric Braking RFD (Right) [N/s]</t>
  </si>
  <si>
    <t>RSI-modified (Imp-Mom) [m/s]</t>
  </si>
  <si>
    <t>Takeoff Peak Force (Right) [N]</t>
  </si>
  <si>
    <t>Takeoff Peak Force (Left) [N]</t>
  </si>
  <si>
    <t>Concentric Time to Peak Force (Left) [ms]</t>
  </si>
  <si>
    <t>Concentric Time to Peak Force (Right) [ms]</t>
  </si>
  <si>
    <t>Force at Peak Power (Left) [N]</t>
  </si>
  <si>
    <t>Force at Peak Power (Right) [N]</t>
  </si>
  <si>
    <t>Peak Landing Force (Left) [N]</t>
  </si>
  <si>
    <t>Peak Landing Force (Right) [N]</t>
  </si>
  <si>
    <t>Landing RFD (Right) [N/s]</t>
  </si>
  <si>
    <t>Landing RFD (Left) [N/s]</t>
  </si>
  <si>
    <t>Concentric Peak Force (Left) [N]</t>
  </si>
  <si>
    <t>Concentric Peak Force (Right) [N]</t>
  </si>
  <si>
    <t>Eccentric Peak Force (Left) [N]</t>
  </si>
  <si>
    <t>Eccentric Peak Force (Right) [N]</t>
  </si>
  <si>
    <t>C069</t>
  </si>
  <si>
    <t>Andrea Cardenas</t>
  </si>
  <si>
    <t>17/05/2007</t>
  </si>
  <si>
    <t>Mujer</t>
  </si>
  <si>
    <t>Tocho</t>
  </si>
  <si>
    <t>Trial 1</t>
  </si>
  <si>
    <t>Trial 2</t>
  </si>
  <si>
    <t>Trial 3</t>
  </si>
  <si>
    <t>C068</t>
  </si>
  <si>
    <t>Balbina Morales</t>
  </si>
  <si>
    <t>27/08/2003</t>
  </si>
  <si>
    <t>C074</t>
  </si>
  <si>
    <t>Aranza Juarez</t>
  </si>
  <si>
    <t>04/02/2008</t>
  </si>
  <si>
    <t>C072</t>
  </si>
  <si>
    <t xml:space="preserve">Ianina  Cassani </t>
  </si>
  <si>
    <t>29/01/2005</t>
  </si>
  <si>
    <t>C078</t>
  </si>
  <si>
    <t>Azul Landeros</t>
  </si>
  <si>
    <t>15/02/2007</t>
  </si>
  <si>
    <t>C079</t>
  </si>
  <si>
    <t>Daniela Prado</t>
  </si>
  <si>
    <t>05/05/2005</t>
  </si>
  <si>
    <t>C073</t>
  </si>
  <si>
    <t>Ana Laura De castro</t>
  </si>
  <si>
    <t>19/09/2008</t>
  </si>
  <si>
    <t>C080</t>
  </si>
  <si>
    <t>Daniela  García</t>
  </si>
  <si>
    <t>11/02/2005</t>
  </si>
  <si>
    <t>C071</t>
  </si>
  <si>
    <t>María José  Lozano</t>
  </si>
  <si>
    <t>18/07/2007</t>
  </si>
  <si>
    <t>C077</t>
  </si>
  <si>
    <t>Maria  Ruiz</t>
  </si>
  <si>
    <t>17/01/2008</t>
  </si>
  <si>
    <t>C075</t>
  </si>
  <si>
    <t>Zuhri Regalado</t>
  </si>
  <si>
    <t>29/01/2007</t>
  </si>
  <si>
    <t>C081</t>
  </si>
  <si>
    <t>Melanie Díaz (usar este perfil)</t>
  </si>
  <si>
    <t>07/03/2007</t>
  </si>
  <si>
    <t>C070</t>
  </si>
  <si>
    <t>Ximena Cuate</t>
  </si>
  <si>
    <t>19/12/2007</t>
  </si>
  <si>
    <t>C082</t>
  </si>
  <si>
    <t>Monserrat Navarro</t>
  </si>
  <si>
    <t>12/07/2005</t>
  </si>
  <si>
    <t>C066</t>
  </si>
  <si>
    <t xml:space="preserve">Nalani Gámez </t>
  </si>
  <si>
    <t>18/12/2004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</si>
</sst>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\ hh:mm"/>
  </numFmts>
  <fonts count="3">
    <font>
      <sz val="11"/>
      <color theme="1"/>
      <name val="Calibri"/>
      <family val="2"/>
      <scheme val="minor"/>
    </font>
    <font>
      <b/>
      <i/>
      <sz val="11"/>
      <color theme="1"/>
      <name val="Calibri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top"/>
    </xf>
    <xf numFmtId="22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64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left" vertical="top"/>
    </xf>
    <xf numFmtId="22" fontId="0" fillId="0" borderId="0" xfId="0" applyNumberFormat="1" applyBorder="1" applyAlignment="1">
      <alignment horizontal="left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4"/>
  <sheetViews>
    <sheetView tabSelected="1" workbookViewId="0">
      <selection activeCell="C31" sqref="C31"/>
    </sheetView>
  </sheetViews>
  <sheetFormatPr defaultRowHeight="15"/>
  <cols>
    <col min="1" max="1" width="16" bestFit="1" customWidth="1"/>
    <col min="3" max="3" width="27.7109375" bestFit="1" customWidth="1"/>
    <col min="4" max="4" width="16" bestFit="1" customWidth="1"/>
    <col min="7" max="7" width="23.28515625" bestFit="1" customWidth="1"/>
    <col min="8" max="8" width="16" bestFit="1" customWidth="1"/>
  </cols>
  <sheetData>
    <row r="1" spans="1:32">
      <c r="C1" s="1" t="s">
        <v>0</v>
      </c>
    </row>
    <row r="2" spans="1:32">
      <c r="C2" s="1" t="s">
        <v>1</v>
      </c>
      <c r="D2" s="2">
        <v>46280.434004629627</v>
      </c>
    </row>
    <row r="3" spans="1:32">
      <c r="C3" s="1" t="s">
        <v>2</v>
      </c>
      <c r="D3" s="9">
        <v>46258.291666666664</v>
      </c>
    </row>
    <row r="4" spans="1:32">
      <c r="C4" s="1" t="s">
        <v>3</v>
      </c>
      <c r="D4" s="3" t="s">
        <v>4</v>
      </c>
    </row>
    <row r="5" spans="1:32">
      <c r="C5" s="1" t="s">
        <v>5</v>
      </c>
      <c r="D5" s="3" t="s">
        <v>6</v>
      </c>
    </row>
    <row r="6" spans="1:32">
      <c r="C6" s="1" t="s">
        <v>7</v>
      </c>
      <c r="D6" s="3" t="s">
        <v>8</v>
      </c>
    </row>
    <row r="7" spans="1:32">
      <c r="C7" s="1" t="s">
        <v>9</v>
      </c>
      <c r="D7" s="3" cm="1">
        <f t="array" ref="D7">COUNTA(_xlfn._xlws.FILTER(_xlfn.UNIQUE(C11:C201),_xlfn.UNIQUE(C11:C201)&lt;&gt;0))</f>
        <v>15</v>
      </c>
    </row>
    <row r="9" spans="1:32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  <c r="G9" s="4" t="s">
        <v>16</v>
      </c>
      <c r="H9" s="4" t="s">
        <v>2</v>
      </c>
      <c r="I9" s="4" t="s">
        <v>17</v>
      </c>
      <c r="J9" s="4" t="s">
        <v>18</v>
      </c>
      <c r="K9" s="4" t="s">
        <v>19</v>
      </c>
      <c r="L9" s="4" t="s">
        <v>20</v>
      </c>
      <c r="M9" s="4" t="s">
        <v>21</v>
      </c>
      <c r="N9" s="4" t="s">
        <v>22</v>
      </c>
      <c r="O9" s="4" t="s">
        <v>23</v>
      </c>
      <c r="P9" s="4" t="s">
        <v>24</v>
      </c>
      <c r="Q9" s="4" t="s">
        <v>25</v>
      </c>
      <c r="R9" s="4" t="s">
        <v>26</v>
      </c>
      <c r="S9" s="4" t="s">
        <v>27</v>
      </c>
      <c r="T9" s="4" t="s">
        <v>28</v>
      </c>
      <c r="U9" s="4" t="s">
        <v>29</v>
      </c>
      <c r="V9" s="4" t="s">
        <v>30</v>
      </c>
      <c r="W9" s="4" t="s">
        <v>31</v>
      </c>
      <c r="X9" s="4" t="s">
        <v>32</v>
      </c>
      <c r="Y9" s="4" t="s">
        <v>33</v>
      </c>
      <c r="Z9" s="4" t="s">
        <v>34</v>
      </c>
      <c r="AA9" s="4" t="s">
        <v>35</v>
      </c>
      <c r="AB9" s="4" t="s">
        <v>36</v>
      </c>
      <c r="AC9" s="4" t="s">
        <v>37</v>
      </c>
      <c r="AD9" s="4" t="s">
        <v>38</v>
      </c>
      <c r="AE9" s="4" t="s">
        <v>39</v>
      </c>
      <c r="AF9" s="4" t="s">
        <v>40</v>
      </c>
    </row>
    <row r="10" spans="1:32">
      <c r="A10">
        <v>148</v>
      </c>
      <c r="B10" t="s">
        <v>41</v>
      </c>
      <c r="C10" s="3" t="s">
        <v>42</v>
      </c>
      <c r="D10" s="3" t="s">
        <v>43</v>
      </c>
      <c r="E10" t="s">
        <v>44</v>
      </c>
      <c r="F10" t="s">
        <v>45</v>
      </c>
      <c r="G10" s="3" t="s">
        <v>6</v>
      </c>
      <c r="H10" s="8">
        <v>46258.311639201398</v>
      </c>
      <c r="I10" s="3">
        <v>45.35</v>
      </c>
      <c r="J10" s="3" t="s">
        <v>46</v>
      </c>
      <c r="K10" s="5">
        <v>34</v>
      </c>
      <c r="L10" s="5">
        <v>114.1</v>
      </c>
      <c r="M10" s="5">
        <v>120.7</v>
      </c>
      <c r="N10" s="6">
        <v>0</v>
      </c>
      <c r="O10" s="6">
        <v>0</v>
      </c>
      <c r="P10" s="6">
        <v>1623</v>
      </c>
      <c r="Q10" s="6">
        <v>1960</v>
      </c>
      <c r="R10" s="7">
        <v>0.49</v>
      </c>
      <c r="S10" s="6">
        <v>593</v>
      </c>
      <c r="T10" s="6">
        <v>553</v>
      </c>
      <c r="U10" s="6">
        <v>2</v>
      </c>
      <c r="V10" s="6">
        <v>0</v>
      </c>
      <c r="W10" s="6">
        <v>446</v>
      </c>
      <c r="X10" s="6">
        <v>465</v>
      </c>
      <c r="Y10" s="6">
        <v>3357</v>
      </c>
      <c r="Z10" s="6">
        <v>3140</v>
      </c>
      <c r="AA10" s="6">
        <v>224302</v>
      </c>
      <c r="AB10" s="6">
        <v>279727</v>
      </c>
      <c r="AC10" s="6">
        <v>553</v>
      </c>
      <c r="AD10" s="6">
        <v>593</v>
      </c>
      <c r="AE10" s="6">
        <v>552</v>
      </c>
      <c r="AF10" s="6">
        <v>593</v>
      </c>
    </row>
    <row r="11" spans="1:32">
      <c r="A11">
        <v>148</v>
      </c>
      <c r="B11" t="s">
        <v>41</v>
      </c>
      <c r="C11" s="3" t="s">
        <v>42</v>
      </c>
      <c r="D11" s="3" t="s">
        <v>43</v>
      </c>
      <c r="E11" t="s">
        <v>44</v>
      </c>
      <c r="F11" t="s">
        <v>45</v>
      </c>
      <c r="G11" s="3" t="s">
        <v>6</v>
      </c>
      <c r="H11" s="8">
        <v>46258.311639201398</v>
      </c>
      <c r="I11" s="3">
        <v>45.35</v>
      </c>
      <c r="J11" s="3" t="s">
        <v>47</v>
      </c>
      <c r="K11" s="5">
        <v>36.200000000000003</v>
      </c>
      <c r="L11" s="5">
        <v>118.8</v>
      </c>
      <c r="M11" s="5">
        <v>121.2</v>
      </c>
      <c r="N11" s="6">
        <v>0</v>
      </c>
      <c r="O11" s="6">
        <v>0</v>
      </c>
      <c r="P11" s="6">
        <v>1898</v>
      </c>
      <c r="Q11" s="6">
        <v>1980</v>
      </c>
      <c r="R11" s="7">
        <v>0.52</v>
      </c>
      <c r="S11" s="6">
        <v>632</v>
      </c>
      <c r="T11" s="6">
        <v>614</v>
      </c>
      <c r="U11" s="6">
        <v>4</v>
      </c>
      <c r="V11" s="6">
        <v>0</v>
      </c>
      <c r="W11" s="6">
        <v>439</v>
      </c>
      <c r="X11" s="6">
        <v>442</v>
      </c>
      <c r="Y11" s="6">
        <v>3208</v>
      </c>
      <c r="Z11" s="6">
        <v>2434</v>
      </c>
      <c r="AA11" s="6">
        <v>110646</v>
      </c>
      <c r="AB11" s="6">
        <v>133655</v>
      </c>
      <c r="AC11" s="6">
        <v>612</v>
      </c>
      <c r="AD11" s="6">
        <v>629</v>
      </c>
      <c r="AE11" s="6">
        <v>614</v>
      </c>
      <c r="AF11" s="6">
        <v>632</v>
      </c>
    </row>
    <row r="12" spans="1:32">
      <c r="A12">
        <v>148</v>
      </c>
      <c r="B12" t="s">
        <v>41</v>
      </c>
      <c r="C12" s="3" t="s">
        <v>42</v>
      </c>
      <c r="D12" s="3" t="s">
        <v>43</v>
      </c>
      <c r="E12" t="s">
        <v>44</v>
      </c>
      <c r="F12" t="s">
        <v>45</v>
      </c>
      <c r="G12" s="3" t="s">
        <v>6</v>
      </c>
      <c r="H12" s="8">
        <v>46258.311639201398</v>
      </c>
      <c r="I12" s="3">
        <v>45.35</v>
      </c>
      <c r="J12" s="3" t="s">
        <v>48</v>
      </c>
      <c r="K12" s="5">
        <v>37.4</v>
      </c>
      <c r="L12" s="5">
        <v>128.30000000000001</v>
      </c>
      <c r="M12" s="5">
        <v>127.5</v>
      </c>
      <c r="N12" s="6">
        <v>0</v>
      </c>
      <c r="O12" s="6">
        <v>0</v>
      </c>
      <c r="P12" s="6">
        <v>1695</v>
      </c>
      <c r="Q12" s="6">
        <v>1869</v>
      </c>
      <c r="R12" s="7">
        <v>0.48</v>
      </c>
      <c r="S12" s="6">
        <v>631</v>
      </c>
      <c r="T12" s="6">
        <v>618</v>
      </c>
      <c r="U12" s="6">
        <v>2</v>
      </c>
      <c r="V12" s="6">
        <v>0</v>
      </c>
      <c r="W12" s="6">
        <v>423</v>
      </c>
      <c r="X12" s="6">
        <v>425</v>
      </c>
      <c r="Y12" s="6">
        <v>3088</v>
      </c>
      <c r="Z12" s="6">
        <v>3478</v>
      </c>
      <c r="AA12" s="6">
        <v>347822</v>
      </c>
      <c r="AB12" s="6">
        <v>308772</v>
      </c>
      <c r="AC12" s="6">
        <v>616</v>
      </c>
      <c r="AD12" s="6">
        <v>624</v>
      </c>
      <c r="AE12" s="6">
        <v>618</v>
      </c>
      <c r="AF12" s="6">
        <v>631</v>
      </c>
    </row>
    <row r="13" spans="1:32">
      <c r="A13">
        <v>150</v>
      </c>
      <c r="B13" t="s">
        <v>49</v>
      </c>
      <c r="C13" s="3" t="s">
        <v>50</v>
      </c>
      <c r="D13" s="3" t="s">
        <v>51</v>
      </c>
      <c r="E13" t="s">
        <v>44</v>
      </c>
      <c r="F13" t="s">
        <v>45</v>
      </c>
      <c r="G13" s="3" t="s">
        <v>6</v>
      </c>
      <c r="H13" s="8">
        <v>46258.3115791319</v>
      </c>
      <c r="I13" s="3">
        <v>69.650000000000006</v>
      </c>
      <c r="J13" s="3" t="s">
        <v>46</v>
      </c>
      <c r="K13" s="5">
        <v>22.5</v>
      </c>
      <c r="L13" s="5">
        <v>172.6</v>
      </c>
      <c r="M13" s="5">
        <v>176</v>
      </c>
      <c r="N13" s="6">
        <v>0</v>
      </c>
      <c r="O13" s="6">
        <v>0</v>
      </c>
      <c r="P13" s="6">
        <v>1891</v>
      </c>
      <c r="Q13" s="6">
        <v>2371</v>
      </c>
      <c r="R13" s="7">
        <v>0.28000000000000003</v>
      </c>
      <c r="S13" s="6">
        <v>766</v>
      </c>
      <c r="T13" s="6">
        <v>811</v>
      </c>
      <c r="U13" s="6">
        <v>0</v>
      </c>
      <c r="V13" s="6">
        <v>0</v>
      </c>
      <c r="W13" s="6">
        <v>619</v>
      </c>
      <c r="X13" s="6">
        <v>651</v>
      </c>
      <c r="Y13" s="6">
        <v>720</v>
      </c>
      <c r="Z13" s="6">
        <v>798</v>
      </c>
      <c r="AA13" s="6">
        <v>8673</v>
      </c>
      <c r="AB13" s="6">
        <v>3712</v>
      </c>
      <c r="AC13" s="6">
        <v>795</v>
      </c>
      <c r="AD13" s="6">
        <v>757</v>
      </c>
      <c r="AE13" s="6">
        <v>811</v>
      </c>
      <c r="AF13" s="6">
        <v>766</v>
      </c>
    </row>
    <row r="14" spans="1:32">
      <c r="A14">
        <v>150</v>
      </c>
      <c r="B14" t="s">
        <v>49</v>
      </c>
      <c r="C14" s="3" t="s">
        <v>50</v>
      </c>
      <c r="D14" s="3" t="s">
        <v>51</v>
      </c>
      <c r="E14" t="s">
        <v>44</v>
      </c>
      <c r="F14" t="s">
        <v>45</v>
      </c>
      <c r="G14" s="3" t="s">
        <v>6</v>
      </c>
      <c r="H14" s="8">
        <v>46258.3115791319</v>
      </c>
      <c r="I14" s="3">
        <v>69.650000000000006</v>
      </c>
      <c r="J14" s="3" t="s">
        <v>47</v>
      </c>
      <c r="K14" s="5">
        <v>21.9</v>
      </c>
      <c r="L14" s="5">
        <v>177.3</v>
      </c>
      <c r="M14" s="5">
        <v>171.4</v>
      </c>
      <c r="N14" s="6">
        <v>0</v>
      </c>
      <c r="O14" s="6">
        <v>0</v>
      </c>
      <c r="P14" s="6">
        <v>2132</v>
      </c>
      <c r="Q14" s="6">
        <v>1919</v>
      </c>
      <c r="R14" s="7">
        <v>0.26</v>
      </c>
      <c r="S14" s="6">
        <v>738</v>
      </c>
      <c r="T14" s="6">
        <v>823</v>
      </c>
      <c r="U14" s="6">
        <v>0</v>
      </c>
      <c r="V14" s="6">
        <v>0</v>
      </c>
      <c r="W14" s="6">
        <v>616</v>
      </c>
      <c r="X14" s="6">
        <v>625</v>
      </c>
      <c r="Y14" s="6">
        <v>653</v>
      </c>
      <c r="Z14" s="6">
        <v>820</v>
      </c>
      <c r="AA14" s="6">
        <v>8038</v>
      </c>
      <c r="AB14" s="6">
        <v>25119</v>
      </c>
      <c r="AC14" s="6">
        <v>819</v>
      </c>
      <c r="AD14" s="6">
        <v>734</v>
      </c>
      <c r="AE14" s="6">
        <v>823</v>
      </c>
      <c r="AF14" s="6">
        <v>738</v>
      </c>
    </row>
    <row r="15" spans="1:32">
      <c r="A15">
        <v>150</v>
      </c>
      <c r="B15" t="s">
        <v>49</v>
      </c>
      <c r="C15" s="3" t="s">
        <v>50</v>
      </c>
      <c r="D15" s="3" t="s">
        <v>51</v>
      </c>
      <c r="E15" t="s">
        <v>44</v>
      </c>
      <c r="F15" t="s">
        <v>45</v>
      </c>
      <c r="G15" s="3" t="s">
        <v>6</v>
      </c>
      <c r="H15" s="8">
        <v>46258.3115791319</v>
      </c>
      <c r="I15" s="3">
        <v>69.650000000000006</v>
      </c>
      <c r="J15" s="3" t="s">
        <v>48</v>
      </c>
      <c r="K15" s="5">
        <v>21.7</v>
      </c>
      <c r="L15" s="5">
        <v>182.4</v>
      </c>
      <c r="M15" s="5">
        <v>183.9</v>
      </c>
      <c r="N15" s="6">
        <v>229</v>
      </c>
      <c r="O15" s="6">
        <v>202</v>
      </c>
      <c r="P15" s="6">
        <v>849</v>
      </c>
      <c r="Q15" s="6">
        <v>732</v>
      </c>
      <c r="R15" s="7">
        <v>0.22</v>
      </c>
      <c r="S15" s="6">
        <v>665</v>
      </c>
      <c r="T15" s="6">
        <v>657</v>
      </c>
      <c r="U15" s="6">
        <v>222</v>
      </c>
      <c r="V15" s="6">
        <v>206</v>
      </c>
      <c r="W15" s="6">
        <v>628</v>
      </c>
      <c r="X15" s="6">
        <v>623</v>
      </c>
      <c r="Y15" s="6">
        <v>1009</v>
      </c>
      <c r="Z15" s="6">
        <v>685</v>
      </c>
      <c r="AA15" s="6">
        <v>2634</v>
      </c>
      <c r="AB15" s="6">
        <v>10511</v>
      </c>
      <c r="AC15" s="6">
        <v>657</v>
      </c>
      <c r="AD15" s="6">
        <v>665</v>
      </c>
      <c r="AE15" s="6">
        <v>606</v>
      </c>
      <c r="AF15" s="6">
        <v>619</v>
      </c>
    </row>
    <row r="16" spans="1:32">
      <c r="A16">
        <v>149</v>
      </c>
      <c r="B16" t="s">
        <v>52</v>
      </c>
      <c r="C16" s="3" t="s">
        <v>53</v>
      </c>
      <c r="D16" s="3" t="s">
        <v>54</v>
      </c>
      <c r="E16" t="s">
        <v>44</v>
      </c>
      <c r="F16" t="s">
        <v>45</v>
      </c>
      <c r="G16" s="3" t="s">
        <v>6</v>
      </c>
      <c r="H16" s="8">
        <v>46258.307213506901</v>
      </c>
      <c r="I16" s="3">
        <v>62.2</v>
      </c>
      <c r="J16" s="3" t="s">
        <v>46</v>
      </c>
      <c r="K16" s="5">
        <v>24.1</v>
      </c>
      <c r="L16" s="5">
        <v>142.1</v>
      </c>
      <c r="M16" s="5">
        <v>130.4</v>
      </c>
      <c r="N16" s="6">
        <v>357</v>
      </c>
      <c r="O16" s="6">
        <v>0</v>
      </c>
      <c r="P16" s="6">
        <v>2802</v>
      </c>
      <c r="Q16" s="6">
        <v>2466</v>
      </c>
      <c r="R16" s="7">
        <v>0.41</v>
      </c>
      <c r="S16" s="6">
        <v>692</v>
      </c>
      <c r="T16" s="6">
        <v>750</v>
      </c>
      <c r="U16" s="6">
        <v>104</v>
      </c>
      <c r="V16" s="6">
        <v>4</v>
      </c>
      <c r="W16" s="6">
        <v>690</v>
      </c>
      <c r="X16" s="6">
        <v>631</v>
      </c>
      <c r="Y16" s="6">
        <v>1691</v>
      </c>
      <c r="Z16" s="6">
        <v>1994</v>
      </c>
      <c r="AA16" s="6">
        <v>33240</v>
      </c>
      <c r="AB16" s="6">
        <v>26421</v>
      </c>
      <c r="AC16" s="6">
        <v>750</v>
      </c>
      <c r="AD16" s="6">
        <v>692</v>
      </c>
      <c r="AE16" s="6">
        <v>746</v>
      </c>
      <c r="AF16" s="6">
        <v>691</v>
      </c>
    </row>
    <row r="17" spans="1:32">
      <c r="A17">
        <v>149</v>
      </c>
      <c r="B17" t="s">
        <v>52</v>
      </c>
      <c r="C17" s="3" t="s">
        <v>53</v>
      </c>
      <c r="D17" s="3" t="s">
        <v>54</v>
      </c>
      <c r="E17" t="s">
        <v>44</v>
      </c>
      <c r="F17" t="s">
        <v>45</v>
      </c>
      <c r="G17" s="3" t="s">
        <v>6</v>
      </c>
      <c r="H17" s="8">
        <v>46258.307213506901</v>
      </c>
      <c r="I17" s="3">
        <v>62.2</v>
      </c>
      <c r="J17" s="3" t="s">
        <v>47</v>
      </c>
      <c r="K17" s="5">
        <v>23.9</v>
      </c>
      <c r="L17" s="5">
        <v>145.9</v>
      </c>
      <c r="M17" s="5">
        <v>133</v>
      </c>
      <c r="N17" s="6">
        <v>0</v>
      </c>
      <c r="O17" s="6">
        <v>0</v>
      </c>
      <c r="P17" s="6">
        <v>2489</v>
      </c>
      <c r="Q17" s="6">
        <v>2221</v>
      </c>
      <c r="R17" s="7">
        <v>0.37</v>
      </c>
      <c r="S17" s="6">
        <v>695</v>
      </c>
      <c r="T17" s="6">
        <v>774</v>
      </c>
      <c r="U17" s="6">
        <v>0</v>
      </c>
      <c r="V17" s="6">
        <v>6</v>
      </c>
      <c r="W17" s="6">
        <v>654</v>
      </c>
      <c r="X17" s="6">
        <v>593</v>
      </c>
      <c r="Y17" s="6">
        <v>1669</v>
      </c>
      <c r="Z17" s="6">
        <v>2019</v>
      </c>
      <c r="AA17" s="6">
        <v>42071</v>
      </c>
      <c r="AB17" s="6">
        <v>33379</v>
      </c>
      <c r="AC17" s="6">
        <v>773</v>
      </c>
      <c r="AD17" s="6">
        <v>695</v>
      </c>
      <c r="AE17" s="6">
        <v>774</v>
      </c>
      <c r="AF17" s="6">
        <v>692</v>
      </c>
    </row>
    <row r="18" spans="1:32">
      <c r="A18">
        <v>149</v>
      </c>
      <c r="B18" t="s">
        <v>52</v>
      </c>
      <c r="C18" s="3" t="s">
        <v>53</v>
      </c>
      <c r="D18" s="3" t="s">
        <v>54</v>
      </c>
      <c r="E18" t="s">
        <v>44</v>
      </c>
      <c r="F18" t="s">
        <v>45</v>
      </c>
      <c r="G18" s="3" t="s">
        <v>6</v>
      </c>
      <c r="H18" s="8">
        <v>46258.307213506901</v>
      </c>
      <c r="I18" s="3">
        <v>62.2</v>
      </c>
      <c r="J18" s="3" t="s">
        <v>48</v>
      </c>
      <c r="K18" s="5">
        <v>25.2</v>
      </c>
      <c r="L18" s="5">
        <v>145.9</v>
      </c>
      <c r="M18" s="5">
        <v>139.6</v>
      </c>
      <c r="N18" s="6">
        <v>0</v>
      </c>
      <c r="O18" s="6">
        <v>0</v>
      </c>
      <c r="P18" s="6">
        <v>2634</v>
      </c>
      <c r="Q18" s="6">
        <v>2663</v>
      </c>
      <c r="R18" s="7">
        <v>0.41</v>
      </c>
      <c r="S18" s="6">
        <v>719</v>
      </c>
      <c r="T18" s="6">
        <v>758</v>
      </c>
      <c r="U18" s="6">
        <v>0</v>
      </c>
      <c r="V18" s="6">
        <v>0</v>
      </c>
      <c r="W18" s="6">
        <v>674</v>
      </c>
      <c r="X18" s="6">
        <v>614</v>
      </c>
      <c r="Y18" s="6">
        <v>1528</v>
      </c>
      <c r="Z18" s="6">
        <v>1809</v>
      </c>
      <c r="AA18" s="6">
        <v>33507</v>
      </c>
      <c r="AB18" s="6">
        <v>26344</v>
      </c>
      <c r="AC18" s="6">
        <v>742</v>
      </c>
      <c r="AD18" s="6">
        <v>719</v>
      </c>
      <c r="AE18" s="6">
        <v>758</v>
      </c>
      <c r="AF18" s="6">
        <v>719</v>
      </c>
    </row>
    <row r="19" spans="1:32">
      <c r="A19">
        <v>147</v>
      </c>
      <c r="B19" t="s">
        <v>55</v>
      </c>
      <c r="C19" s="3" t="s">
        <v>56</v>
      </c>
      <c r="D19" s="3" t="s">
        <v>57</v>
      </c>
      <c r="E19" t="s">
        <v>44</v>
      </c>
      <c r="F19" t="s">
        <v>45</v>
      </c>
      <c r="G19" s="3" t="s">
        <v>6</v>
      </c>
      <c r="H19" s="8">
        <v>46258.3045072569</v>
      </c>
      <c r="I19" s="3">
        <v>64.86</v>
      </c>
      <c r="J19" s="3" t="s">
        <v>46</v>
      </c>
      <c r="K19" s="5">
        <v>30</v>
      </c>
      <c r="L19" s="5">
        <v>155.30000000000001</v>
      </c>
      <c r="M19" s="5">
        <v>151.9</v>
      </c>
      <c r="N19" s="6">
        <v>1500</v>
      </c>
      <c r="O19" s="6">
        <v>-1125</v>
      </c>
      <c r="P19" s="6">
        <v>2623</v>
      </c>
      <c r="Q19" s="6">
        <v>2691</v>
      </c>
      <c r="R19" s="7">
        <v>0.45</v>
      </c>
      <c r="S19" s="6">
        <v>823</v>
      </c>
      <c r="T19" s="6">
        <v>802</v>
      </c>
      <c r="U19" s="6">
        <v>16</v>
      </c>
      <c r="V19" s="6">
        <v>0</v>
      </c>
      <c r="W19" s="6">
        <v>652</v>
      </c>
      <c r="X19" s="6">
        <v>657</v>
      </c>
      <c r="Y19" s="6">
        <v>2060</v>
      </c>
      <c r="Z19" s="6">
        <v>1298</v>
      </c>
      <c r="AA19" s="6">
        <v>25969</v>
      </c>
      <c r="AB19" s="6">
        <v>42912</v>
      </c>
      <c r="AC19" s="6">
        <v>802</v>
      </c>
      <c r="AD19" s="6">
        <v>813</v>
      </c>
      <c r="AE19" s="6">
        <v>783</v>
      </c>
      <c r="AF19" s="6">
        <v>823</v>
      </c>
    </row>
    <row r="20" spans="1:32">
      <c r="A20">
        <v>147</v>
      </c>
      <c r="B20" t="s">
        <v>55</v>
      </c>
      <c r="C20" s="3" t="s">
        <v>56</v>
      </c>
      <c r="D20" s="3" t="s">
        <v>57</v>
      </c>
      <c r="E20" t="s">
        <v>44</v>
      </c>
      <c r="F20" t="s">
        <v>45</v>
      </c>
      <c r="G20" s="3" t="s">
        <v>6</v>
      </c>
      <c r="H20" s="8">
        <v>46258.3045072569</v>
      </c>
      <c r="I20" s="3">
        <v>64.86</v>
      </c>
      <c r="J20" s="3" t="s">
        <v>47</v>
      </c>
      <c r="K20" s="5">
        <v>30.5</v>
      </c>
      <c r="L20" s="5">
        <v>141.5</v>
      </c>
      <c r="M20" s="5">
        <v>147.9</v>
      </c>
      <c r="N20" s="6">
        <v>0</v>
      </c>
      <c r="O20" s="6">
        <v>0</v>
      </c>
      <c r="P20" s="6">
        <v>3374</v>
      </c>
      <c r="Q20" s="6">
        <v>3440</v>
      </c>
      <c r="R20" s="7">
        <v>0.53</v>
      </c>
      <c r="S20" s="6">
        <v>890</v>
      </c>
      <c r="T20" s="6">
        <v>840</v>
      </c>
      <c r="U20" s="6">
        <v>12</v>
      </c>
      <c r="V20" s="6">
        <v>0</v>
      </c>
      <c r="W20" s="6">
        <v>689</v>
      </c>
      <c r="X20" s="6">
        <v>735</v>
      </c>
      <c r="Y20" s="6">
        <v>1900</v>
      </c>
      <c r="Z20" s="6">
        <v>1560</v>
      </c>
      <c r="AA20" s="6">
        <v>30009</v>
      </c>
      <c r="AB20" s="6">
        <v>39578</v>
      </c>
      <c r="AC20" s="6">
        <v>840</v>
      </c>
      <c r="AD20" s="6">
        <v>890</v>
      </c>
      <c r="AE20" s="6">
        <v>838</v>
      </c>
      <c r="AF20" s="6">
        <v>890</v>
      </c>
    </row>
    <row r="21" spans="1:32">
      <c r="A21">
        <v>147</v>
      </c>
      <c r="B21" t="s">
        <v>55</v>
      </c>
      <c r="C21" s="3" t="s">
        <v>56</v>
      </c>
      <c r="D21" s="3" t="s">
        <v>57</v>
      </c>
      <c r="E21" t="s">
        <v>44</v>
      </c>
      <c r="F21" t="s">
        <v>45</v>
      </c>
      <c r="G21" s="3" t="s">
        <v>6</v>
      </c>
      <c r="H21" s="8">
        <v>46258.3045072569</v>
      </c>
      <c r="I21" s="3">
        <v>64.86</v>
      </c>
      <c r="J21" s="3" t="s">
        <v>48</v>
      </c>
      <c r="K21" s="5">
        <v>29.8</v>
      </c>
      <c r="L21" s="5">
        <v>145.1</v>
      </c>
      <c r="M21" s="5">
        <v>148.9</v>
      </c>
      <c r="N21" s="6">
        <v>0</v>
      </c>
      <c r="O21" s="6">
        <v>0</v>
      </c>
      <c r="P21" s="6">
        <v>3654</v>
      </c>
      <c r="Q21" s="6">
        <v>3866</v>
      </c>
      <c r="R21" s="7">
        <v>0.52</v>
      </c>
      <c r="S21" s="6">
        <v>910</v>
      </c>
      <c r="T21" s="6">
        <v>867</v>
      </c>
      <c r="U21" s="6">
        <v>0</v>
      </c>
      <c r="V21" s="6">
        <v>0</v>
      </c>
      <c r="W21" s="6">
        <v>676</v>
      </c>
      <c r="X21" s="6">
        <v>703</v>
      </c>
      <c r="Y21" s="6">
        <v>1546</v>
      </c>
      <c r="Z21" s="6">
        <v>1726</v>
      </c>
      <c r="AA21" s="6">
        <v>39238</v>
      </c>
      <c r="AB21" s="6">
        <v>26651</v>
      </c>
      <c r="AC21" s="6">
        <v>856</v>
      </c>
      <c r="AD21" s="6">
        <v>897</v>
      </c>
      <c r="AE21" s="6">
        <v>867</v>
      </c>
      <c r="AF21" s="6">
        <v>910</v>
      </c>
    </row>
    <row r="22" spans="1:32">
      <c r="A22">
        <v>146</v>
      </c>
      <c r="B22" t="s">
        <v>58</v>
      </c>
      <c r="C22" s="3" t="s">
        <v>59</v>
      </c>
      <c r="D22" s="3" t="s">
        <v>60</v>
      </c>
      <c r="E22" t="s">
        <v>44</v>
      </c>
      <c r="F22" t="s">
        <v>45</v>
      </c>
      <c r="G22" s="3" t="s">
        <v>6</v>
      </c>
      <c r="H22" s="8">
        <v>46258.303608449103</v>
      </c>
      <c r="I22" s="3">
        <v>60.11</v>
      </c>
      <c r="J22" s="3" t="s">
        <v>46</v>
      </c>
      <c r="K22" s="5">
        <v>22.6</v>
      </c>
      <c r="L22" s="5">
        <v>127.6</v>
      </c>
      <c r="M22" s="5">
        <v>137.1</v>
      </c>
      <c r="N22" s="6">
        <v>900</v>
      </c>
      <c r="O22" s="6">
        <v>-200</v>
      </c>
      <c r="P22" s="6">
        <v>2087</v>
      </c>
      <c r="Q22" s="6">
        <v>2527</v>
      </c>
      <c r="R22" s="7">
        <v>0.38</v>
      </c>
      <c r="S22" s="6">
        <v>709</v>
      </c>
      <c r="T22" s="6">
        <v>634</v>
      </c>
      <c r="U22" s="6">
        <v>122</v>
      </c>
      <c r="V22" s="6">
        <v>2</v>
      </c>
      <c r="W22" s="6">
        <v>594</v>
      </c>
      <c r="X22" s="6">
        <v>632</v>
      </c>
      <c r="Y22" s="6">
        <v>1867</v>
      </c>
      <c r="Z22" s="6">
        <v>1655</v>
      </c>
      <c r="AA22" s="6">
        <v>55180</v>
      </c>
      <c r="AB22" s="6">
        <v>58342</v>
      </c>
      <c r="AC22" s="6">
        <v>634</v>
      </c>
      <c r="AD22" s="6">
        <v>705</v>
      </c>
      <c r="AE22" s="6">
        <v>623</v>
      </c>
      <c r="AF22" s="6">
        <v>709</v>
      </c>
    </row>
    <row r="23" spans="1:32">
      <c r="A23">
        <v>146</v>
      </c>
      <c r="B23" t="s">
        <v>58</v>
      </c>
      <c r="C23" s="3" t="s">
        <v>59</v>
      </c>
      <c r="D23" s="3" t="s">
        <v>60</v>
      </c>
      <c r="E23" t="s">
        <v>44</v>
      </c>
      <c r="F23" t="s">
        <v>45</v>
      </c>
      <c r="G23" s="3" t="s">
        <v>6</v>
      </c>
      <c r="H23" s="8">
        <v>46258.303608449103</v>
      </c>
      <c r="I23" s="3">
        <v>60.11</v>
      </c>
      <c r="J23" s="3" t="s">
        <v>47</v>
      </c>
      <c r="K23" s="5">
        <v>22.8</v>
      </c>
      <c r="L23" s="5">
        <v>127</v>
      </c>
      <c r="M23" s="5">
        <v>144.30000000000001</v>
      </c>
      <c r="N23" s="6">
        <v>1500</v>
      </c>
      <c r="O23" s="6">
        <v>250</v>
      </c>
      <c r="P23" s="6">
        <v>1974</v>
      </c>
      <c r="Q23" s="6">
        <v>2385</v>
      </c>
      <c r="R23" s="7">
        <v>0.36</v>
      </c>
      <c r="S23" s="6">
        <v>729</v>
      </c>
      <c r="T23" s="6">
        <v>608</v>
      </c>
      <c r="U23" s="6">
        <v>156</v>
      </c>
      <c r="V23" s="6">
        <v>4</v>
      </c>
      <c r="W23" s="6">
        <v>571</v>
      </c>
      <c r="X23" s="6">
        <v>628</v>
      </c>
      <c r="Y23" s="6">
        <v>1176</v>
      </c>
      <c r="Z23" s="6">
        <v>1247</v>
      </c>
      <c r="AA23" s="6">
        <v>34650</v>
      </c>
      <c r="AB23" s="6">
        <v>26726</v>
      </c>
      <c r="AC23" s="6">
        <v>608</v>
      </c>
      <c r="AD23" s="6">
        <v>721</v>
      </c>
      <c r="AE23" s="6">
        <v>571</v>
      </c>
      <c r="AF23" s="6">
        <v>729</v>
      </c>
    </row>
    <row r="24" spans="1:32">
      <c r="A24">
        <v>146</v>
      </c>
      <c r="B24" t="s">
        <v>58</v>
      </c>
      <c r="C24" s="3" t="s">
        <v>59</v>
      </c>
      <c r="D24" s="3" t="s">
        <v>60</v>
      </c>
      <c r="E24" t="s">
        <v>44</v>
      </c>
      <c r="F24" t="s">
        <v>45</v>
      </c>
      <c r="G24" s="3" t="s">
        <v>6</v>
      </c>
      <c r="H24" s="8">
        <v>46258.303608449103</v>
      </c>
      <c r="I24" s="3">
        <v>60.11</v>
      </c>
      <c r="J24" s="3" t="s">
        <v>48</v>
      </c>
      <c r="K24" s="5">
        <v>23.6</v>
      </c>
      <c r="L24" s="5">
        <v>135.1</v>
      </c>
      <c r="M24" s="5">
        <v>147.80000000000001</v>
      </c>
      <c r="N24" s="6">
        <v>667</v>
      </c>
      <c r="O24" s="6">
        <v>-500</v>
      </c>
      <c r="P24" s="6">
        <v>2328</v>
      </c>
      <c r="Q24" s="6">
        <v>2496</v>
      </c>
      <c r="R24" s="7">
        <v>0.37</v>
      </c>
      <c r="S24" s="6">
        <v>748</v>
      </c>
      <c r="T24" s="6">
        <v>639</v>
      </c>
      <c r="U24" s="6">
        <v>16</v>
      </c>
      <c r="V24" s="6">
        <v>0</v>
      </c>
      <c r="W24" s="6">
        <v>573</v>
      </c>
      <c r="X24" s="6">
        <v>601</v>
      </c>
      <c r="Y24" s="6">
        <v>1696</v>
      </c>
      <c r="Z24" s="6">
        <v>1663</v>
      </c>
      <c r="AA24" s="6">
        <v>63977</v>
      </c>
      <c r="AB24" s="6">
        <v>65228</v>
      </c>
      <c r="AC24" s="6">
        <v>639</v>
      </c>
      <c r="AD24" s="6">
        <v>736</v>
      </c>
      <c r="AE24" s="6">
        <v>635</v>
      </c>
      <c r="AF24" s="6">
        <v>748</v>
      </c>
    </row>
    <row r="25" spans="1:32">
      <c r="A25">
        <v>143</v>
      </c>
      <c r="B25" t="s">
        <v>61</v>
      </c>
      <c r="C25" s="3" t="s">
        <v>62</v>
      </c>
      <c r="D25" s="3" t="s">
        <v>63</v>
      </c>
      <c r="E25" t="s">
        <v>44</v>
      </c>
      <c r="F25" t="s">
        <v>45</v>
      </c>
      <c r="G25" s="3" t="s">
        <v>6</v>
      </c>
      <c r="H25" s="8">
        <v>46258.302183564803</v>
      </c>
      <c r="I25" s="3">
        <v>60.55</v>
      </c>
      <c r="J25" s="3" t="s">
        <v>46</v>
      </c>
      <c r="K25" s="5">
        <v>25.5</v>
      </c>
      <c r="L25" s="5">
        <v>153.4</v>
      </c>
      <c r="M25" s="5">
        <v>155.80000000000001</v>
      </c>
      <c r="N25" s="6">
        <v>0</v>
      </c>
      <c r="O25" s="6">
        <v>0</v>
      </c>
      <c r="P25" s="6">
        <v>2182</v>
      </c>
      <c r="Q25" s="6">
        <v>2299</v>
      </c>
      <c r="R25" s="7">
        <v>0.34</v>
      </c>
      <c r="S25" s="6">
        <v>722</v>
      </c>
      <c r="T25" s="6">
        <v>678</v>
      </c>
      <c r="U25" s="6">
        <v>0</v>
      </c>
      <c r="V25" s="6">
        <v>0</v>
      </c>
      <c r="W25" s="6">
        <v>566</v>
      </c>
      <c r="X25" s="6">
        <v>563</v>
      </c>
      <c r="Y25" s="6">
        <v>1075</v>
      </c>
      <c r="Z25" s="6">
        <v>1271</v>
      </c>
      <c r="AA25" s="6">
        <v>27640</v>
      </c>
      <c r="AB25" s="6">
        <v>16284</v>
      </c>
      <c r="AC25" s="6">
        <v>667</v>
      </c>
      <c r="AD25" s="6">
        <v>714</v>
      </c>
      <c r="AE25" s="6">
        <v>678</v>
      </c>
      <c r="AF25" s="6">
        <v>722</v>
      </c>
    </row>
    <row r="26" spans="1:32">
      <c r="A26">
        <v>143</v>
      </c>
      <c r="B26" t="s">
        <v>61</v>
      </c>
      <c r="C26" s="3" t="s">
        <v>62</v>
      </c>
      <c r="D26" s="3" t="s">
        <v>63</v>
      </c>
      <c r="E26" t="s">
        <v>44</v>
      </c>
      <c r="F26" t="s">
        <v>45</v>
      </c>
      <c r="G26" s="3" t="s">
        <v>6</v>
      </c>
      <c r="H26" s="8">
        <v>46258.302183564803</v>
      </c>
      <c r="I26" s="3">
        <v>60.55</v>
      </c>
      <c r="J26" s="3" t="s">
        <v>47</v>
      </c>
      <c r="K26" s="5">
        <v>24.7</v>
      </c>
      <c r="L26" s="5">
        <v>149.80000000000001</v>
      </c>
      <c r="M26" s="5">
        <v>150.5</v>
      </c>
      <c r="N26" s="6">
        <v>-750</v>
      </c>
      <c r="O26" s="6">
        <v>1000</v>
      </c>
      <c r="P26" s="6">
        <v>2369</v>
      </c>
      <c r="Q26" s="6">
        <v>2194</v>
      </c>
      <c r="R26" s="7">
        <v>0.33</v>
      </c>
      <c r="S26" s="6">
        <v>673</v>
      </c>
      <c r="T26" s="6">
        <v>716</v>
      </c>
      <c r="U26" s="6">
        <v>0</v>
      </c>
      <c r="V26" s="6">
        <v>10</v>
      </c>
      <c r="W26" s="6">
        <v>581</v>
      </c>
      <c r="X26" s="6">
        <v>585</v>
      </c>
      <c r="Y26" s="6">
        <v>1166</v>
      </c>
      <c r="Z26" s="6">
        <v>1370</v>
      </c>
      <c r="AA26" s="6">
        <v>18032</v>
      </c>
      <c r="AB26" s="6">
        <v>14217</v>
      </c>
      <c r="AC26" s="6">
        <v>703</v>
      </c>
      <c r="AD26" s="6">
        <v>673</v>
      </c>
      <c r="AE26" s="6">
        <v>716</v>
      </c>
      <c r="AF26" s="6">
        <v>667</v>
      </c>
    </row>
    <row r="27" spans="1:32">
      <c r="A27">
        <v>143</v>
      </c>
      <c r="B27" t="s">
        <v>61</v>
      </c>
      <c r="C27" s="3" t="s">
        <v>62</v>
      </c>
      <c r="D27" s="3" t="s">
        <v>63</v>
      </c>
      <c r="E27" t="s">
        <v>44</v>
      </c>
      <c r="F27" t="s">
        <v>45</v>
      </c>
      <c r="G27" s="3" t="s">
        <v>6</v>
      </c>
      <c r="H27" s="8">
        <v>46258.302183564803</v>
      </c>
      <c r="I27" s="3">
        <v>60.55</v>
      </c>
      <c r="J27" s="3" t="s">
        <v>48</v>
      </c>
      <c r="K27" s="5">
        <v>24.9</v>
      </c>
      <c r="L27" s="5">
        <v>155.9</v>
      </c>
      <c r="M27" s="5">
        <v>150.6</v>
      </c>
      <c r="N27" s="6">
        <v>0</v>
      </c>
      <c r="O27" s="6">
        <v>0</v>
      </c>
      <c r="P27" s="6">
        <v>2209</v>
      </c>
      <c r="Q27" s="6">
        <v>2125</v>
      </c>
      <c r="R27" s="7">
        <v>0.32</v>
      </c>
      <c r="S27" s="6">
        <v>706</v>
      </c>
      <c r="T27" s="6">
        <v>717</v>
      </c>
      <c r="U27" s="6">
        <v>0</v>
      </c>
      <c r="V27" s="6">
        <v>2</v>
      </c>
      <c r="W27" s="6">
        <v>565</v>
      </c>
      <c r="X27" s="6">
        <v>557</v>
      </c>
      <c r="Y27" s="6">
        <v>377</v>
      </c>
      <c r="Z27" s="6">
        <v>793</v>
      </c>
      <c r="AA27" s="6">
        <v>14694</v>
      </c>
      <c r="AB27" s="6">
        <v>5091</v>
      </c>
      <c r="AC27" s="6">
        <v>711</v>
      </c>
      <c r="AD27" s="6">
        <v>700</v>
      </c>
      <c r="AE27" s="6">
        <v>717</v>
      </c>
      <c r="AF27" s="6">
        <v>706</v>
      </c>
    </row>
    <row r="28" spans="1:32">
      <c r="A28">
        <v>144</v>
      </c>
      <c r="B28" t="s">
        <v>64</v>
      </c>
      <c r="C28" s="3" t="s">
        <v>65</v>
      </c>
      <c r="D28" s="3" t="s">
        <v>66</v>
      </c>
      <c r="E28" t="s">
        <v>44</v>
      </c>
      <c r="F28" t="s">
        <v>45</v>
      </c>
      <c r="G28" s="3" t="s">
        <v>6</v>
      </c>
      <c r="H28" s="8">
        <v>46258.2999277778</v>
      </c>
      <c r="I28" s="3">
        <v>66.12</v>
      </c>
      <c r="J28" s="3" t="s">
        <v>46</v>
      </c>
      <c r="K28" s="5">
        <v>26.9</v>
      </c>
      <c r="L28" s="5">
        <v>156.4</v>
      </c>
      <c r="M28" s="5">
        <v>156.9</v>
      </c>
      <c r="N28" s="6">
        <v>0</v>
      </c>
      <c r="O28" s="6">
        <v>0</v>
      </c>
      <c r="P28" s="6">
        <v>3135</v>
      </c>
      <c r="Q28" s="6">
        <v>3172</v>
      </c>
      <c r="R28" s="7">
        <v>0.4</v>
      </c>
      <c r="S28" s="6">
        <v>886</v>
      </c>
      <c r="T28" s="6">
        <v>841</v>
      </c>
      <c r="U28" s="6">
        <v>0</v>
      </c>
      <c r="V28" s="6">
        <v>2</v>
      </c>
      <c r="W28" s="6">
        <v>619</v>
      </c>
      <c r="X28" s="6">
        <v>632</v>
      </c>
      <c r="Y28" s="6">
        <v>1839</v>
      </c>
      <c r="Z28" s="6">
        <v>1580</v>
      </c>
      <c r="AA28" s="6">
        <v>25490</v>
      </c>
      <c r="AB28" s="6">
        <v>28733</v>
      </c>
      <c r="AC28" s="6">
        <v>841</v>
      </c>
      <c r="AD28" s="6">
        <v>877</v>
      </c>
      <c r="AE28" s="6">
        <v>841</v>
      </c>
      <c r="AF28" s="6">
        <v>886</v>
      </c>
    </row>
    <row r="29" spans="1:32">
      <c r="A29">
        <v>144</v>
      </c>
      <c r="B29" t="s">
        <v>64</v>
      </c>
      <c r="C29" s="3" t="s">
        <v>65</v>
      </c>
      <c r="D29" s="3" t="s">
        <v>66</v>
      </c>
      <c r="E29" t="s">
        <v>44</v>
      </c>
      <c r="F29" t="s">
        <v>45</v>
      </c>
      <c r="G29" s="3" t="s">
        <v>6</v>
      </c>
      <c r="H29" s="8">
        <v>46258.2999277778</v>
      </c>
      <c r="I29" s="3">
        <v>66.12</v>
      </c>
      <c r="J29" s="3" t="s">
        <v>47</v>
      </c>
      <c r="K29" s="5">
        <v>26.2</v>
      </c>
      <c r="L29" s="5">
        <v>163.1</v>
      </c>
      <c r="M29" s="5">
        <v>171.8</v>
      </c>
      <c r="N29" s="6">
        <v>0</v>
      </c>
      <c r="O29" s="6">
        <v>0</v>
      </c>
      <c r="P29" s="6">
        <v>2949</v>
      </c>
      <c r="Q29" s="6">
        <v>3109</v>
      </c>
      <c r="R29" s="7">
        <v>0.37</v>
      </c>
      <c r="S29" s="6">
        <v>879</v>
      </c>
      <c r="T29" s="6">
        <v>874</v>
      </c>
      <c r="U29" s="6">
        <v>0</v>
      </c>
      <c r="V29" s="6">
        <v>0</v>
      </c>
      <c r="W29" s="6">
        <v>590</v>
      </c>
      <c r="X29" s="6">
        <v>656</v>
      </c>
      <c r="Y29" s="6">
        <v>1803</v>
      </c>
      <c r="Z29" s="6">
        <v>2090</v>
      </c>
      <c r="AA29" s="6">
        <v>31673</v>
      </c>
      <c r="AB29" s="6">
        <v>26514</v>
      </c>
      <c r="AC29" s="6">
        <v>854</v>
      </c>
      <c r="AD29" s="6">
        <v>844</v>
      </c>
      <c r="AE29" s="6">
        <v>874</v>
      </c>
      <c r="AF29" s="6">
        <v>879</v>
      </c>
    </row>
    <row r="30" spans="1:32">
      <c r="A30">
        <v>144</v>
      </c>
      <c r="B30" t="s">
        <v>64</v>
      </c>
      <c r="C30" s="3" t="s">
        <v>65</v>
      </c>
      <c r="D30" s="3" t="s">
        <v>66</v>
      </c>
      <c r="E30" t="s">
        <v>44</v>
      </c>
      <c r="F30" t="s">
        <v>45</v>
      </c>
      <c r="G30" s="3" t="s">
        <v>6</v>
      </c>
      <c r="H30" s="8">
        <v>46258.2999277778</v>
      </c>
      <c r="I30" s="3">
        <v>66.12</v>
      </c>
      <c r="J30" s="3" t="s">
        <v>48</v>
      </c>
      <c r="K30" s="5">
        <v>26.4</v>
      </c>
      <c r="L30" s="5">
        <v>152.5</v>
      </c>
      <c r="M30" s="5">
        <v>160.69999999999999</v>
      </c>
      <c r="N30" s="6">
        <v>0</v>
      </c>
      <c r="O30" s="6">
        <v>0</v>
      </c>
      <c r="P30" s="6">
        <v>3409</v>
      </c>
      <c r="Q30" s="6">
        <v>3284</v>
      </c>
      <c r="R30" s="7">
        <v>0.4</v>
      </c>
      <c r="S30" s="6">
        <v>853</v>
      </c>
      <c r="T30" s="6">
        <v>902</v>
      </c>
      <c r="U30" s="6">
        <v>0</v>
      </c>
      <c r="V30" s="6">
        <v>0</v>
      </c>
      <c r="W30" s="6">
        <v>627</v>
      </c>
      <c r="X30" s="6">
        <v>685</v>
      </c>
      <c r="Y30" s="6">
        <v>1896</v>
      </c>
      <c r="Z30" s="6">
        <v>2314</v>
      </c>
      <c r="AA30" s="6">
        <v>39903</v>
      </c>
      <c r="AB30" s="6">
        <v>31599</v>
      </c>
      <c r="AC30" s="6">
        <v>876</v>
      </c>
      <c r="AD30" s="6">
        <v>853</v>
      </c>
      <c r="AE30" s="6">
        <v>902</v>
      </c>
      <c r="AF30" s="6">
        <v>853</v>
      </c>
    </row>
    <row r="31" spans="1:32">
      <c r="A31">
        <v>137</v>
      </c>
      <c r="B31" t="s">
        <v>67</v>
      </c>
      <c r="C31" s="3" t="s">
        <v>68</v>
      </c>
      <c r="D31" s="3" t="s">
        <v>69</v>
      </c>
      <c r="E31" t="s">
        <v>44</v>
      </c>
      <c r="F31" t="s">
        <v>45</v>
      </c>
      <c r="G31" s="3" t="s">
        <v>6</v>
      </c>
      <c r="H31" s="8">
        <v>46258.297390659704</v>
      </c>
      <c r="I31" s="3">
        <v>64.430000000000007</v>
      </c>
      <c r="J31" s="3" t="s">
        <v>46</v>
      </c>
      <c r="K31" s="5">
        <v>28.8</v>
      </c>
      <c r="L31" s="5">
        <v>139.30000000000001</v>
      </c>
      <c r="M31" s="5">
        <v>143.6</v>
      </c>
      <c r="N31" s="6">
        <v>850</v>
      </c>
      <c r="O31" s="6">
        <v>250</v>
      </c>
      <c r="P31" s="6">
        <v>3387</v>
      </c>
      <c r="Q31" s="6">
        <v>3580</v>
      </c>
      <c r="R31" s="7">
        <v>0.49</v>
      </c>
      <c r="S31" s="6">
        <v>923</v>
      </c>
      <c r="T31" s="6">
        <v>839</v>
      </c>
      <c r="U31" s="6">
        <v>20</v>
      </c>
      <c r="V31" s="6">
        <v>6</v>
      </c>
      <c r="W31" s="6">
        <v>676</v>
      </c>
      <c r="X31" s="6">
        <v>676</v>
      </c>
      <c r="Y31" s="6">
        <v>1575</v>
      </c>
      <c r="Z31" s="6">
        <v>2217</v>
      </c>
      <c r="AA31" s="6">
        <v>61577</v>
      </c>
      <c r="AB31" s="6">
        <v>37508</v>
      </c>
      <c r="AC31" s="6">
        <v>839</v>
      </c>
      <c r="AD31" s="6">
        <v>923</v>
      </c>
      <c r="AE31" s="6">
        <v>822</v>
      </c>
      <c r="AF31" s="6">
        <v>916</v>
      </c>
    </row>
    <row r="32" spans="1:32">
      <c r="A32">
        <v>137</v>
      </c>
      <c r="B32" t="s">
        <v>67</v>
      </c>
      <c r="C32" s="3" t="s">
        <v>68</v>
      </c>
      <c r="D32" s="3" t="s">
        <v>69</v>
      </c>
      <c r="E32" t="s">
        <v>44</v>
      </c>
      <c r="F32" t="s">
        <v>45</v>
      </c>
      <c r="G32" s="3" t="s">
        <v>6</v>
      </c>
      <c r="H32" s="8">
        <v>46258.297390659704</v>
      </c>
      <c r="I32" s="3">
        <v>64.430000000000007</v>
      </c>
      <c r="J32" s="3" t="s">
        <v>47</v>
      </c>
      <c r="K32" s="5">
        <v>28.1</v>
      </c>
      <c r="L32" s="5">
        <v>135.9</v>
      </c>
      <c r="M32" s="5">
        <v>144.9</v>
      </c>
      <c r="N32" s="6">
        <v>625</v>
      </c>
      <c r="O32" s="6">
        <v>875</v>
      </c>
      <c r="P32" s="6">
        <v>3315</v>
      </c>
      <c r="Q32" s="6">
        <v>3677</v>
      </c>
      <c r="R32" s="7">
        <v>0.48</v>
      </c>
      <c r="S32" s="6">
        <v>921</v>
      </c>
      <c r="T32" s="6">
        <v>847</v>
      </c>
      <c r="U32" s="6">
        <v>8</v>
      </c>
      <c r="V32" s="6">
        <v>6</v>
      </c>
      <c r="W32" s="6">
        <v>667</v>
      </c>
      <c r="X32" s="6">
        <v>694</v>
      </c>
      <c r="Y32" s="6">
        <v>1941</v>
      </c>
      <c r="Z32" s="6">
        <v>2263</v>
      </c>
      <c r="AA32" s="6">
        <v>80814</v>
      </c>
      <c r="AB32" s="6">
        <v>60667</v>
      </c>
      <c r="AC32" s="6">
        <v>847</v>
      </c>
      <c r="AD32" s="6">
        <v>921</v>
      </c>
      <c r="AE32" s="6">
        <v>842</v>
      </c>
      <c r="AF32" s="6">
        <v>914</v>
      </c>
    </row>
    <row r="33" spans="1:32">
      <c r="A33" s="10">
        <v>137</v>
      </c>
      <c r="B33" s="10" t="s">
        <v>67</v>
      </c>
      <c r="C33" s="3" t="s">
        <v>68</v>
      </c>
      <c r="D33" s="3" t="s">
        <v>69</v>
      </c>
      <c r="E33" t="s">
        <v>44</v>
      </c>
      <c r="F33" t="s">
        <v>45</v>
      </c>
      <c r="G33" s="3" t="s">
        <v>6</v>
      </c>
      <c r="H33" s="8">
        <v>46258.297390659704</v>
      </c>
      <c r="I33" s="3">
        <v>64.430000000000007</v>
      </c>
      <c r="J33" s="3" t="s">
        <v>48</v>
      </c>
      <c r="K33" s="5">
        <v>27.7</v>
      </c>
      <c r="L33" s="5">
        <v>144.6</v>
      </c>
      <c r="M33" s="5">
        <v>152</v>
      </c>
      <c r="N33" s="6">
        <v>1500</v>
      </c>
      <c r="O33" s="6">
        <v>-1000</v>
      </c>
      <c r="P33" s="6">
        <v>3557</v>
      </c>
      <c r="Q33" s="6">
        <v>3995</v>
      </c>
      <c r="R33" s="7">
        <v>0.44</v>
      </c>
      <c r="S33" s="6">
        <v>927</v>
      </c>
      <c r="T33" s="6">
        <v>860</v>
      </c>
      <c r="U33" s="6">
        <v>2</v>
      </c>
      <c r="V33" s="6">
        <v>0</v>
      </c>
      <c r="W33" s="6">
        <v>647</v>
      </c>
      <c r="X33" s="6">
        <v>667</v>
      </c>
      <c r="Y33" s="6">
        <v>1957</v>
      </c>
      <c r="Z33" s="6">
        <v>2530</v>
      </c>
      <c r="AA33" s="6">
        <v>140543</v>
      </c>
      <c r="AB33" s="6">
        <v>88970</v>
      </c>
      <c r="AC33" s="6">
        <v>857</v>
      </c>
      <c r="AD33" s="6">
        <v>920</v>
      </c>
      <c r="AE33" s="6">
        <v>860</v>
      </c>
      <c r="AF33" s="6">
        <v>927</v>
      </c>
    </row>
    <row r="34" spans="1:32">
      <c r="A34">
        <v>145</v>
      </c>
      <c r="B34" t="s">
        <v>70</v>
      </c>
      <c r="C34" s="3" t="s">
        <v>71</v>
      </c>
      <c r="D34" s="3" t="s">
        <v>72</v>
      </c>
      <c r="E34" t="s">
        <v>44</v>
      </c>
      <c r="F34" t="s">
        <v>45</v>
      </c>
      <c r="G34" s="3" t="s">
        <v>6</v>
      </c>
      <c r="H34" s="8">
        <v>46258.309208796301</v>
      </c>
      <c r="I34" s="3">
        <v>60.25</v>
      </c>
      <c r="J34" s="3" t="s">
        <v>46</v>
      </c>
      <c r="K34" s="5">
        <v>24.5</v>
      </c>
      <c r="L34" s="5">
        <v>148.4</v>
      </c>
      <c r="M34" s="5">
        <v>144.80000000000001</v>
      </c>
      <c r="N34" s="6">
        <v>750</v>
      </c>
      <c r="O34" s="6">
        <v>500</v>
      </c>
      <c r="P34" s="6">
        <v>1322</v>
      </c>
      <c r="Q34" s="6">
        <v>1366</v>
      </c>
      <c r="R34" s="7">
        <v>0.28000000000000003</v>
      </c>
      <c r="S34" s="6">
        <v>681</v>
      </c>
      <c r="T34" s="6">
        <v>675</v>
      </c>
      <c r="U34" s="6">
        <v>10</v>
      </c>
      <c r="V34" s="6">
        <v>4</v>
      </c>
      <c r="W34" s="6">
        <v>605</v>
      </c>
      <c r="X34" s="6">
        <v>572</v>
      </c>
      <c r="Y34" s="6">
        <v>1377</v>
      </c>
      <c r="Z34" s="6">
        <v>1259</v>
      </c>
      <c r="AA34" s="6">
        <v>20305</v>
      </c>
      <c r="AB34" s="6">
        <v>21517</v>
      </c>
      <c r="AC34" s="6">
        <v>675</v>
      </c>
      <c r="AD34" s="6">
        <v>681</v>
      </c>
      <c r="AE34" s="6">
        <v>671</v>
      </c>
      <c r="AF34" s="6">
        <v>679</v>
      </c>
    </row>
    <row r="35" spans="1:32">
      <c r="A35">
        <v>145</v>
      </c>
      <c r="B35" t="s">
        <v>70</v>
      </c>
      <c r="C35" s="3" t="s">
        <v>71</v>
      </c>
      <c r="D35" s="3" t="s">
        <v>72</v>
      </c>
      <c r="E35" t="s">
        <v>44</v>
      </c>
      <c r="F35" t="s">
        <v>45</v>
      </c>
      <c r="G35" s="3" t="s">
        <v>6</v>
      </c>
      <c r="H35" s="8">
        <v>46258.309208796301</v>
      </c>
      <c r="I35" s="3">
        <v>60.25</v>
      </c>
      <c r="J35" s="3" t="s">
        <v>47</v>
      </c>
      <c r="K35" s="5">
        <v>27</v>
      </c>
      <c r="L35" s="5">
        <v>150.1</v>
      </c>
      <c r="M35" s="5">
        <v>154.6</v>
      </c>
      <c r="N35" s="6">
        <v>3500</v>
      </c>
      <c r="O35" s="6">
        <v>500</v>
      </c>
      <c r="P35" s="6">
        <v>1448</v>
      </c>
      <c r="Q35" s="6">
        <v>1517</v>
      </c>
      <c r="R35" s="7">
        <v>0.33</v>
      </c>
      <c r="S35" s="6">
        <v>743</v>
      </c>
      <c r="T35" s="6">
        <v>673</v>
      </c>
      <c r="U35" s="6">
        <v>2</v>
      </c>
      <c r="V35" s="6">
        <v>4</v>
      </c>
      <c r="W35" s="6">
        <v>562</v>
      </c>
      <c r="X35" s="6">
        <v>564</v>
      </c>
      <c r="Y35" s="6">
        <v>1602</v>
      </c>
      <c r="Z35" s="6">
        <v>1494</v>
      </c>
      <c r="AA35" s="6">
        <v>25757</v>
      </c>
      <c r="AB35" s="6">
        <v>28609</v>
      </c>
      <c r="AC35" s="6">
        <v>673</v>
      </c>
      <c r="AD35" s="6">
        <v>743</v>
      </c>
      <c r="AE35" s="6">
        <v>669</v>
      </c>
      <c r="AF35" s="6">
        <v>743</v>
      </c>
    </row>
    <row r="36" spans="1:32">
      <c r="A36">
        <v>145</v>
      </c>
      <c r="B36" t="s">
        <v>70</v>
      </c>
      <c r="C36" s="3" t="s">
        <v>71</v>
      </c>
      <c r="D36" s="3" t="s">
        <v>72</v>
      </c>
      <c r="E36" t="s">
        <v>44</v>
      </c>
      <c r="F36" t="s">
        <v>45</v>
      </c>
      <c r="G36" s="3" t="s">
        <v>6</v>
      </c>
      <c r="H36" s="8">
        <v>46258.309208796301</v>
      </c>
      <c r="I36" s="3">
        <v>60.25</v>
      </c>
      <c r="J36" s="3" t="s">
        <v>48</v>
      </c>
      <c r="K36" s="5">
        <v>26.6</v>
      </c>
      <c r="L36" s="5">
        <v>159.30000000000001</v>
      </c>
      <c r="M36" s="5">
        <v>151.1</v>
      </c>
      <c r="N36" s="6">
        <v>800</v>
      </c>
      <c r="O36" s="6">
        <v>600</v>
      </c>
      <c r="P36" s="6">
        <v>1724</v>
      </c>
      <c r="Q36" s="6">
        <v>1429</v>
      </c>
      <c r="R36" s="7">
        <v>0.32</v>
      </c>
      <c r="S36" s="6">
        <v>714</v>
      </c>
      <c r="T36" s="6">
        <v>701</v>
      </c>
      <c r="U36" s="6">
        <v>12</v>
      </c>
      <c r="V36" s="6">
        <v>10</v>
      </c>
      <c r="W36" s="6">
        <v>562</v>
      </c>
      <c r="X36" s="6">
        <v>534</v>
      </c>
      <c r="Y36" s="6">
        <v>987</v>
      </c>
      <c r="Z36" s="6">
        <v>685</v>
      </c>
      <c r="AA36" s="6">
        <v>8154</v>
      </c>
      <c r="AB36" s="6">
        <v>17627</v>
      </c>
      <c r="AC36" s="6">
        <v>701</v>
      </c>
      <c r="AD36" s="6">
        <v>714</v>
      </c>
      <c r="AE36" s="6">
        <v>692</v>
      </c>
      <c r="AF36" s="6">
        <v>708</v>
      </c>
    </row>
    <row r="37" spans="1:32">
      <c r="A37">
        <v>141</v>
      </c>
      <c r="B37" t="s">
        <v>73</v>
      </c>
      <c r="C37" s="3" t="s">
        <v>74</v>
      </c>
      <c r="D37" s="3" t="s">
        <v>75</v>
      </c>
      <c r="E37" t="s">
        <v>44</v>
      </c>
      <c r="F37" t="s">
        <v>45</v>
      </c>
      <c r="G37" s="3" t="s">
        <v>6</v>
      </c>
      <c r="H37" s="8">
        <v>46258.308771261603</v>
      </c>
      <c r="I37" s="3">
        <v>52.14</v>
      </c>
      <c r="J37" s="3" t="s">
        <v>46</v>
      </c>
      <c r="K37" s="5">
        <v>28.8</v>
      </c>
      <c r="L37" s="5">
        <v>133.9</v>
      </c>
      <c r="M37" s="5">
        <v>136.1</v>
      </c>
      <c r="N37" s="6">
        <v>0</v>
      </c>
      <c r="O37" s="6">
        <v>0</v>
      </c>
      <c r="P37" s="6">
        <v>2374</v>
      </c>
      <c r="Q37" s="6">
        <v>2252</v>
      </c>
      <c r="R37" s="7">
        <v>0.41</v>
      </c>
      <c r="S37" s="6">
        <v>619</v>
      </c>
      <c r="T37" s="6">
        <v>676</v>
      </c>
      <c r="U37" s="6">
        <v>2</v>
      </c>
      <c r="V37" s="6">
        <v>0</v>
      </c>
      <c r="W37" s="6">
        <v>478</v>
      </c>
      <c r="X37" s="6">
        <v>506</v>
      </c>
      <c r="Y37" s="6">
        <v>1367</v>
      </c>
      <c r="Z37" s="6">
        <v>1500</v>
      </c>
      <c r="AA37" s="6">
        <v>23444</v>
      </c>
      <c r="AB37" s="6">
        <v>21358</v>
      </c>
      <c r="AC37" s="6">
        <v>675</v>
      </c>
      <c r="AD37" s="6">
        <v>614</v>
      </c>
      <c r="AE37" s="6">
        <v>676</v>
      </c>
      <c r="AF37" s="6">
        <v>619</v>
      </c>
    </row>
    <row r="38" spans="1:32">
      <c r="A38">
        <v>141</v>
      </c>
      <c r="B38" t="s">
        <v>73</v>
      </c>
      <c r="C38" s="3" t="s">
        <v>74</v>
      </c>
      <c r="D38" s="3" t="s">
        <v>75</v>
      </c>
      <c r="E38" t="s">
        <v>44</v>
      </c>
      <c r="F38" t="s">
        <v>45</v>
      </c>
      <c r="G38" s="3" t="s">
        <v>6</v>
      </c>
      <c r="H38" s="8">
        <v>46258.308771261603</v>
      </c>
      <c r="I38" s="3">
        <v>52.14</v>
      </c>
      <c r="J38" s="3" t="s">
        <v>47</v>
      </c>
      <c r="K38" s="5">
        <v>28.3</v>
      </c>
      <c r="L38" s="5">
        <v>130.80000000000001</v>
      </c>
      <c r="M38" s="5">
        <v>133.69999999999999</v>
      </c>
      <c r="N38" s="6">
        <v>0</v>
      </c>
      <c r="O38" s="6">
        <v>0</v>
      </c>
      <c r="P38" s="6">
        <v>2624</v>
      </c>
      <c r="Q38" s="6">
        <v>2419</v>
      </c>
      <c r="R38" s="7">
        <v>0.42</v>
      </c>
      <c r="S38" s="6">
        <v>723</v>
      </c>
      <c r="T38" s="6">
        <v>718</v>
      </c>
      <c r="U38" s="6">
        <v>0</v>
      </c>
      <c r="V38" s="6">
        <v>0</v>
      </c>
      <c r="W38" s="6">
        <v>504</v>
      </c>
      <c r="X38" s="6">
        <v>508</v>
      </c>
      <c r="Y38" s="6">
        <v>1489</v>
      </c>
      <c r="Z38" s="6">
        <v>1939</v>
      </c>
      <c r="AA38" s="6">
        <v>38788</v>
      </c>
      <c r="AB38" s="6">
        <v>29779</v>
      </c>
      <c r="AC38" s="6">
        <v>697</v>
      </c>
      <c r="AD38" s="6">
        <v>688</v>
      </c>
      <c r="AE38" s="6">
        <v>718</v>
      </c>
      <c r="AF38" s="6">
        <v>723</v>
      </c>
    </row>
    <row r="39" spans="1:32">
      <c r="A39">
        <v>141</v>
      </c>
      <c r="B39" t="s">
        <v>73</v>
      </c>
      <c r="C39" s="3" t="s">
        <v>74</v>
      </c>
      <c r="D39" s="3" t="s">
        <v>75</v>
      </c>
      <c r="E39" t="s">
        <v>44</v>
      </c>
      <c r="F39" t="s">
        <v>45</v>
      </c>
      <c r="G39" s="3" t="s">
        <v>6</v>
      </c>
      <c r="H39" s="8">
        <v>46258.308771261603</v>
      </c>
      <c r="I39" s="3">
        <v>52.14</v>
      </c>
      <c r="J39" s="3" t="s">
        <v>48</v>
      </c>
      <c r="K39" s="5">
        <v>28</v>
      </c>
      <c r="L39" s="5">
        <v>138.1</v>
      </c>
      <c r="M39" s="5">
        <v>131.80000000000001</v>
      </c>
      <c r="N39" s="6">
        <v>0</v>
      </c>
      <c r="O39" s="6">
        <v>0</v>
      </c>
      <c r="P39" s="6">
        <v>2461</v>
      </c>
      <c r="Q39" s="6">
        <v>2601</v>
      </c>
      <c r="R39" s="7">
        <v>0.41</v>
      </c>
      <c r="S39" s="6">
        <v>700</v>
      </c>
      <c r="T39" s="6">
        <v>697</v>
      </c>
      <c r="U39" s="6">
        <v>0</v>
      </c>
      <c r="V39" s="6">
        <v>0</v>
      </c>
      <c r="W39" s="6">
        <v>522</v>
      </c>
      <c r="X39" s="6">
        <v>508</v>
      </c>
      <c r="Y39" s="6">
        <v>2103</v>
      </c>
      <c r="Z39" s="6">
        <v>1951</v>
      </c>
      <c r="AA39" s="6">
        <v>37527</v>
      </c>
      <c r="AB39" s="6">
        <v>33918</v>
      </c>
      <c r="AC39" s="6">
        <v>685</v>
      </c>
      <c r="AD39" s="6">
        <v>696</v>
      </c>
      <c r="AE39" s="6">
        <v>697</v>
      </c>
      <c r="AF39" s="6">
        <v>700</v>
      </c>
    </row>
    <row r="40" spans="1:32">
      <c r="A40">
        <v>142</v>
      </c>
      <c r="B40" t="s">
        <v>76</v>
      </c>
      <c r="C40" s="3" t="s">
        <v>77</v>
      </c>
      <c r="D40" s="3" t="s">
        <v>78</v>
      </c>
      <c r="E40" t="s">
        <v>44</v>
      </c>
      <c r="F40" t="s">
        <v>45</v>
      </c>
      <c r="G40" s="3" t="s">
        <v>6</v>
      </c>
      <c r="H40" s="8">
        <v>46258.306488969902</v>
      </c>
      <c r="I40" s="3">
        <v>64.08</v>
      </c>
      <c r="J40" s="3" t="s">
        <v>46</v>
      </c>
      <c r="K40" s="5">
        <v>23.1</v>
      </c>
      <c r="L40" s="5">
        <v>144.6</v>
      </c>
      <c r="M40" s="5">
        <v>144.1</v>
      </c>
      <c r="N40" s="6">
        <v>152</v>
      </c>
      <c r="O40" s="6">
        <v>234</v>
      </c>
      <c r="P40" s="6">
        <v>1692</v>
      </c>
      <c r="Q40" s="6">
        <v>2183</v>
      </c>
      <c r="R40" s="7">
        <v>0.27</v>
      </c>
      <c r="S40" s="6">
        <v>700</v>
      </c>
      <c r="T40" s="6">
        <v>711</v>
      </c>
      <c r="U40" s="6">
        <v>160</v>
      </c>
      <c r="V40" s="6">
        <v>154</v>
      </c>
      <c r="W40" s="6">
        <v>678</v>
      </c>
      <c r="X40" s="6">
        <v>674</v>
      </c>
      <c r="Y40" s="6">
        <v>1827</v>
      </c>
      <c r="Z40" s="6">
        <v>2640</v>
      </c>
      <c r="AA40" s="6">
        <v>73346</v>
      </c>
      <c r="AB40" s="6">
        <v>43494</v>
      </c>
      <c r="AC40" s="6">
        <v>711</v>
      </c>
      <c r="AD40" s="6">
        <v>700</v>
      </c>
      <c r="AE40" s="6">
        <v>685</v>
      </c>
      <c r="AF40" s="6">
        <v>663</v>
      </c>
    </row>
    <row r="41" spans="1:32">
      <c r="A41">
        <v>142</v>
      </c>
      <c r="B41" t="s">
        <v>76</v>
      </c>
      <c r="C41" s="3" t="s">
        <v>77</v>
      </c>
      <c r="D41" s="3" t="s">
        <v>78</v>
      </c>
      <c r="E41" t="s">
        <v>44</v>
      </c>
      <c r="F41" t="s">
        <v>45</v>
      </c>
      <c r="G41" s="3" t="s">
        <v>6</v>
      </c>
      <c r="H41" s="8">
        <v>46258.306488969902</v>
      </c>
      <c r="I41" s="3">
        <v>64.08</v>
      </c>
      <c r="J41" s="3" t="s">
        <v>47</v>
      </c>
      <c r="K41" s="5">
        <v>28.1</v>
      </c>
      <c r="L41" s="5">
        <v>162.69999999999999</v>
      </c>
      <c r="M41" s="5">
        <v>155.4</v>
      </c>
      <c r="N41" s="6">
        <v>2500</v>
      </c>
      <c r="O41" s="6">
        <v>500</v>
      </c>
      <c r="P41" s="6">
        <v>2366</v>
      </c>
      <c r="Q41" s="6">
        <v>2400</v>
      </c>
      <c r="R41" s="7">
        <v>0.41</v>
      </c>
      <c r="S41" s="6">
        <v>758</v>
      </c>
      <c r="T41" s="6">
        <v>785</v>
      </c>
      <c r="U41" s="6">
        <v>2</v>
      </c>
      <c r="V41" s="6">
        <v>2</v>
      </c>
      <c r="W41" s="6">
        <v>643</v>
      </c>
      <c r="X41" s="6">
        <v>626</v>
      </c>
      <c r="Y41" s="6">
        <v>1553</v>
      </c>
      <c r="Z41" s="6">
        <v>1757</v>
      </c>
      <c r="AA41" s="6">
        <v>31383</v>
      </c>
      <c r="AB41" s="6">
        <v>25044</v>
      </c>
      <c r="AC41" s="6">
        <v>785</v>
      </c>
      <c r="AD41" s="6">
        <v>757</v>
      </c>
      <c r="AE41" s="6">
        <v>780</v>
      </c>
      <c r="AF41" s="6">
        <v>758</v>
      </c>
    </row>
    <row r="42" spans="1:32">
      <c r="A42">
        <v>142</v>
      </c>
      <c r="B42" t="s">
        <v>76</v>
      </c>
      <c r="C42" s="3" t="s">
        <v>77</v>
      </c>
      <c r="D42" s="3" t="s">
        <v>78</v>
      </c>
      <c r="E42" t="s">
        <v>44</v>
      </c>
      <c r="F42" t="s">
        <v>45</v>
      </c>
      <c r="G42" s="3" t="s">
        <v>6</v>
      </c>
      <c r="H42" s="8">
        <v>46258.306488969902</v>
      </c>
      <c r="I42" s="3">
        <v>64.08</v>
      </c>
      <c r="J42" s="3" t="s">
        <v>48</v>
      </c>
      <c r="K42" s="5">
        <v>25.7</v>
      </c>
      <c r="L42" s="5">
        <v>158.6</v>
      </c>
      <c r="M42" s="5">
        <v>159.19999999999999</v>
      </c>
      <c r="N42" s="6">
        <v>0</v>
      </c>
      <c r="O42" s="6">
        <v>667</v>
      </c>
      <c r="P42" s="6">
        <v>2447</v>
      </c>
      <c r="Q42" s="6">
        <v>2208</v>
      </c>
      <c r="R42" s="7">
        <v>0.35</v>
      </c>
      <c r="S42" s="6">
        <v>708</v>
      </c>
      <c r="T42" s="6">
        <v>811</v>
      </c>
      <c r="U42" s="6">
        <v>0</v>
      </c>
      <c r="V42" s="6">
        <v>6</v>
      </c>
      <c r="W42" s="6">
        <v>635</v>
      </c>
      <c r="X42" s="6">
        <v>624</v>
      </c>
      <c r="Y42" s="6">
        <v>2256</v>
      </c>
      <c r="Z42" s="6">
        <v>2127</v>
      </c>
      <c r="AA42" s="6">
        <v>42549</v>
      </c>
      <c r="AB42" s="6">
        <v>49038</v>
      </c>
      <c r="AC42" s="6">
        <v>810</v>
      </c>
      <c r="AD42" s="6">
        <v>708</v>
      </c>
      <c r="AE42" s="6">
        <v>811</v>
      </c>
      <c r="AF42" s="6">
        <v>705</v>
      </c>
    </row>
    <row r="43" spans="1:32">
      <c r="A43">
        <v>140</v>
      </c>
      <c r="B43" t="s">
        <v>79</v>
      </c>
      <c r="C43" s="3" t="s">
        <v>80</v>
      </c>
      <c r="D43" s="3" t="s">
        <v>81</v>
      </c>
      <c r="E43" t="s">
        <v>44</v>
      </c>
      <c r="F43" t="s">
        <v>45</v>
      </c>
      <c r="G43" s="3" t="s">
        <v>6</v>
      </c>
      <c r="H43" s="8">
        <v>46258.305352928197</v>
      </c>
      <c r="I43" s="3">
        <v>62.52</v>
      </c>
      <c r="J43" s="3" t="s">
        <v>46</v>
      </c>
      <c r="K43" s="5">
        <v>21.9</v>
      </c>
      <c r="L43" s="5">
        <v>142</v>
      </c>
      <c r="M43" s="5">
        <v>159</v>
      </c>
      <c r="N43" s="6">
        <v>-500</v>
      </c>
      <c r="O43" s="6">
        <v>1000</v>
      </c>
      <c r="P43" s="6">
        <v>1909</v>
      </c>
      <c r="Q43" s="6">
        <v>1765</v>
      </c>
      <c r="R43" s="7">
        <v>0.28000000000000003</v>
      </c>
      <c r="S43" s="6">
        <v>711</v>
      </c>
      <c r="T43" s="6">
        <v>630</v>
      </c>
      <c r="U43" s="6">
        <v>0</v>
      </c>
      <c r="V43" s="6">
        <v>2</v>
      </c>
      <c r="W43" s="6">
        <v>537</v>
      </c>
      <c r="X43" s="6">
        <v>570</v>
      </c>
      <c r="Y43" s="6">
        <v>1941</v>
      </c>
      <c r="Z43" s="6">
        <v>2669</v>
      </c>
      <c r="AA43" s="6">
        <v>63557</v>
      </c>
      <c r="AB43" s="6">
        <v>38819</v>
      </c>
      <c r="AC43" s="6">
        <v>628</v>
      </c>
      <c r="AD43" s="6">
        <v>711</v>
      </c>
      <c r="AE43" s="6">
        <v>630</v>
      </c>
      <c r="AF43" s="6">
        <v>709</v>
      </c>
    </row>
    <row r="44" spans="1:32">
      <c r="A44">
        <v>140</v>
      </c>
      <c r="B44" t="s">
        <v>79</v>
      </c>
      <c r="C44" s="3" t="s">
        <v>80</v>
      </c>
      <c r="D44" s="3" t="s">
        <v>81</v>
      </c>
      <c r="E44" t="s">
        <v>44</v>
      </c>
      <c r="F44" t="s">
        <v>45</v>
      </c>
      <c r="G44" s="3" t="s">
        <v>6</v>
      </c>
      <c r="H44" s="8">
        <v>46258.305352928197</v>
      </c>
      <c r="I44" s="3">
        <v>62.52</v>
      </c>
      <c r="J44" s="3" t="s">
        <v>47</v>
      </c>
      <c r="K44" s="5">
        <v>22.2</v>
      </c>
      <c r="L44" s="5">
        <v>139.1</v>
      </c>
      <c r="M44" s="5">
        <v>147.4</v>
      </c>
      <c r="N44" s="6">
        <v>1500</v>
      </c>
      <c r="O44" s="6">
        <v>2500</v>
      </c>
      <c r="P44" s="6">
        <v>2079</v>
      </c>
      <c r="Q44" s="6">
        <v>2122</v>
      </c>
      <c r="R44" s="7">
        <v>0.32</v>
      </c>
      <c r="S44" s="6">
        <v>727</v>
      </c>
      <c r="T44" s="6">
        <v>672</v>
      </c>
      <c r="U44" s="6">
        <v>2</v>
      </c>
      <c r="V44" s="6">
        <v>2</v>
      </c>
      <c r="W44" s="6">
        <v>571</v>
      </c>
      <c r="X44" s="6">
        <v>606</v>
      </c>
      <c r="Y44" s="6">
        <v>1620</v>
      </c>
      <c r="Z44" s="6">
        <v>2846</v>
      </c>
      <c r="AA44" s="6">
        <v>54738</v>
      </c>
      <c r="AB44" s="6">
        <v>26999</v>
      </c>
      <c r="AC44" s="6">
        <v>672</v>
      </c>
      <c r="AD44" s="6">
        <v>727</v>
      </c>
      <c r="AE44" s="6">
        <v>669</v>
      </c>
      <c r="AF44" s="6">
        <v>725</v>
      </c>
    </row>
    <row r="45" spans="1:32">
      <c r="A45">
        <v>140</v>
      </c>
      <c r="B45" t="s">
        <v>79</v>
      </c>
      <c r="C45" s="3" t="s">
        <v>80</v>
      </c>
      <c r="D45" s="3" t="s">
        <v>81</v>
      </c>
      <c r="E45" t="s">
        <v>44</v>
      </c>
      <c r="F45" t="s">
        <v>45</v>
      </c>
      <c r="G45" s="3" t="s">
        <v>6</v>
      </c>
      <c r="H45" s="8">
        <v>46258.305352928197</v>
      </c>
      <c r="I45" s="3">
        <v>62.52</v>
      </c>
      <c r="J45" s="3" t="s">
        <v>48</v>
      </c>
      <c r="K45" s="5">
        <v>22.1</v>
      </c>
      <c r="L45" s="5">
        <v>138.9</v>
      </c>
      <c r="M45" s="5">
        <v>163.1</v>
      </c>
      <c r="N45" s="6">
        <v>2500</v>
      </c>
      <c r="O45" s="6">
        <v>-1500</v>
      </c>
      <c r="P45" s="6">
        <v>1997</v>
      </c>
      <c r="Q45" s="6">
        <v>2497</v>
      </c>
      <c r="R45" s="7">
        <v>0.32</v>
      </c>
      <c r="S45" s="6">
        <v>747</v>
      </c>
      <c r="T45" s="6">
        <v>624</v>
      </c>
      <c r="U45" s="6">
        <v>10</v>
      </c>
      <c r="V45" s="6">
        <v>0</v>
      </c>
      <c r="W45" s="6">
        <v>546</v>
      </c>
      <c r="X45" s="6">
        <v>607</v>
      </c>
      <c r="Y45" s="6">
        <v>1980</v>
      </c>
      <c r="Z45" s="6">
        <v>1858</v>
      </c>
      <c r="AA45" s="6">
        <v>42236</v>
      </c>
      <c r="AB45" s="6">
        <v>43042</v>
      </c>
      <c r="AC45" s="6">
        <v>624</v>
      </c>
      <c r="AD45" s="6">
        <v>747</v>
      </c>
      <c r="AE45" s="6">
        <v>619</v>
      </c>
      <c r="AF45" s="6">
        <v>747</v>
      </c>
    </row>
    <row r="46" spans="1:32">
      <c r="B46" t="s">
        <v>82</v>
      </c>
      <c r="C46" s="3" t="s">
        <v>83</v>
      </c>
      <c r="D46" s="3" t="s">
        <v>84</v>
      </c>
      <c r="E46" t="s">
        <v>44</v>
      </c>
      <c r="F46" t="s">
        <v>45</v>
      </c>
      <c r="G46" s="3" t="s">
        <v>6</v>
      </c>
      <c r="H46" s="8">
        <v>46258.299918865698</v>
      </c>
      <c r="I46" s="3">
        <v>65.069999999999993</v>
      </c>
      <c r="J46" s="3" t="s">
        <v>46</v>
      </c>
      <c r="K46" s="5">
        <v>27.3</v>
      </c>
      <c r="L46" s="5">
        <v>164.6</v>
      </c>
      <c r="M46" s="5">
        <v>174.5</v>
      </c>
      <c r="N46" s="6">
        <v>901</v>
      </c>
      <c r="O46" s="6">
        <v>495</v>
      </c>
      <c r="P46" s="6">
        <v>502</v>
      </c>
      <c r="Q46" s="6">
        <v>917</v>
      </c>
      <c r="R46" s="7">
        <v>0.27</v>
      </c>
      <c r="S46" s="6">
        <v>720</v>
      </c>
      <c r="T46" s="6">
        <v>720</v>
      </c>
      <c r="U46" s="6">
        <v>222</v>
      </c>
      <c r="V46" s="6">
        <v>218</v>
      </c>
      <c r="W46" s="6">
        <v>684</v>
      </c>
      <c r="X46" s="6">
        <v>686</v>
      </c>
      <c r="Y46" s="6">
        <v>2381</v>
      </c>
      <c r="Z46" s="6">
        <v>3115</v>
      </c>
      <c r="AA46" s="6">
        <v>155773</v>
      </c>
      <c r="AB46" s="6">
        <v>99198</v>
      </c>
      <c r="AC46" s="6">
        <v>720</v>
      </c>
      <c r="AD46" s="6">
        <v>720</v>
      </c>
      <c r="AE46" s="6">
        <v>522</v>
      </c>
      <c r="AF46" s="6">
        <v>610</v>
      </c>
    </row>
    <row r="47" spans="1:32">
      <c r="B47" t="s">
        <v>82</v>
      </c>
      <c r="C47" s="3" t="s">
        <v>83</v>
      </c>
      <c r="D47" s="3" t="s">
        <v>84</v>
      </c>
      <c r="E47" t="s">
        <v>44</v>
      </c>
      <c r="F47" t="s">
        <v>45</v>
      </c>
      <c r="G47" s="3" t="s">
        <v>6</v>
      </c>
      <c r="H47" s="8">
        <v>46258.299918865698</v>
      </c>
      <c r="I47" s="3">
        <v>65.069999999999993</v>
      </c>
      <c r="J47" s="3" t="s">
        <v>47</v>
      </c>
      <c r="K47" s="5">
        <v>29.5</v>
      </c>
      <c r="L47" s="5">
        <v>180.2</v>
      </c>
      <c r="M47" s="5">
        <v>187.4</v>
      </c>
      <c r="N47" s="6">
        <v>556</v>
      </c>
      <c r="O47" s="6">
        <v>667</v>
      </c>
      <c r="P47" s="6">
        <v>979</v>
      </c>
      <c r="Q47" s="6">
        <v>839</v>
      </c>
      <c r="R47" s="7">
        <v>0.28999999999999998</v>
      </c>
      <c r="S47" s="6">
        <v>671</v>
      </c>
      <c r="T47" s="6">
        <v>677</v>
      </c>
      <c r="U47" s="6">
        <v>18</v>
      </c>
      <c r="V47" s="6">
        <v>258</v>
      </c>
      <c r="W47" s="6">
        <v>623</v>
      </c>
      <c r="X47" s="6">
        <v>666</v>
      </c>
      <c r="Y47" s="6">
        <v>1731</v>
      </c>
      <c r="Z47" s="6">
        <v>2027</v>
      </c>
      <c r="AA47" s="6">
        <v>34956</v>
      </c>
      <c r="AB47" s="6">
        <v>30906</v>
      </c>
      <c r="AC47" s="6">
        <v>677</v>
      </c>
      <c r="AD47" s="6">
        <v>671</v>
      </c>
      <c r="AE47" s="6">
        <v>668</v>
      </c>
      <c r="AF47" s="6">
        <v>639</v>
      </c>
    </row>
    <row r="48" spans="1:32">
      <c r="B48" t="s">
        <v>82</v>
      </c>
      <c r="C48" s="3" t="s">
        <v>83</v>
      </c>
      <c r="D48" s="3" t="s">
        <v>84</v>
      </c>
      <c r="E48" t="s">
        <v>44</v>
      </c>
      <c r="F48" t="s">
        <v>45</v>
      </c>
      <c r="G48" s="3" t="s">
        <v>6</v>
      </c>
      <c r="H48" s="8">
        <v>46258.299918865698</v>
      </c>
      <c r="I48" s="3">
        <v>65.069999999999993</v>
      </c>
      <c r="J48" s="3" t="s">
        <v>48</v>
      </c>
      <c r="K48" s="5">
        <v>29.4</v>
      </c>
      <c r="L48" s="5">
        <v>180.8</v>
      </c>
      <c r="M48" s="5">
        <v>178.3</v>
      </c>
      <c r="N48" s="6">
        <v>687</v>
      </c>
      <c r="O48" s="6">
        <v>-62</v>
      </c>
      <c r="P48" s="6">
        <v>1429</v>
      </c>
      <c r="Q48" s="6">
        <v>1117</v>
      </c>
      <c r="R48" s="7">
        <v>0.31</v>
      </c>
      <c r="S48" s="6">
        <v>668</v>
      </c>
      <c r="T48" s="6">
        <v>706</v>
      </c>
      <c r="U48" s="6">
        <v>16</v>
      </c>
      <c r="V48" s="6">
        <v>6</v>
      </c>
      <c r="W48" s="6">
        <v>619</v>
      </c>
      <c r="X48" s="6">
        <v>630</v>
      </c>
      <c r="Y48" s="6">
        <v>1984</v>
      </c>
      <c r="Z48" s="6">
        <v>2028</v>
      </c>
      <c r="AA48" s="6">
        <v>48297</v>
      </c>
      <c r="AB48" s="6">
        <v>47232</v>
      </c>
      <c r="AC48" s="6">
        <v>706</v>
      </c>
      <c r="AD48" s="6">
        <v>666</v>
      </c>
      <c r="AE48" s="6">
        <v>697</v>
      </c>
      <c r="AF48" s="6">
        <v>668</v>
      </c>
    </row>
    <row r="49" spans="1:32">
      <c r="A49">
        <v>138</v>
      </c>
      <c r="B49" t="s">
        <v>85</v>
      </c>
      <c r="C49" s="3" t="s">
        <v>86</v>
      </c>
      <c r="D49" s="3" t="s">
        <v>87</v>
      </c>
      <c r="E49" t="s">
        <v>44</v>
      </c>
      <c r="F49" t="s">
        <v>45</v>
      </c>
      <c r="G49" s="3" t="s">
        <v>6</v>
      </c>
      <c r="H49" s="8">
        <v>46258.298280868097</v>
      </c>
      <c r="I49" s="3">
        <v>72.92</v>
      </c>
      <c r="J49" s="3" t="s">
        <v>46</v>
      </c>
      <c r="K49" s="5">
        <v>23.6</v>
      </c>
      <c r="L49" s="5">
        <v>172.2</v>
      </c>
      <c r="M49" s="5">
        <v>186.4</v>
      </c>
      <c r="N49" s="6">
        <v>-250</v>
      </c>
      <c r="O49" s="6">
        <v>500</v>
      </c>
      <c r="P49" s="6">
        <v>2678</v>
      </c>
      <c r="Q49" s="6">
        <v>2723</v>
      </c>
      <c r="R49" s="7">
        <v>0.34</v>
      </c>
      <c r="S49" s="6">
        <v>842</v>
      </c>
      <c r="T49" s="6">
        <v>817</v>
      </c>
      <c r="U49" s="6">
        <v>0</v>
      </c>
      <c r="V49" s="6">
        <v>4</v>
      </c>
      <c r="W49" s="6">
        <v>704</v>
      </c>
      <c r="X49" s="6">
        <v>715</v>
      </c>
      <c r="Y49" s="6">
        <v>1192</v>
      </c>
      <c r="Z49" s="6">
        <v>2116</v>
      </c>
      <c r="AA49" s="6">
        <v>40700</v>
      </c>
      <c r="AB49" s="6">
        <v>22073</v>
      </c>
      <c r="AC49" s="6">
        <v>804</v>
      </c>
      <c r="AD49" s="6">
        <v>836</v>
      </c>
      <c r="AE49" s="6">
        <v>817</v>
      </c>
      <c r="AF49" s="6">
        <v>842</v>
      </c>
    </row>
    <row r="50" spans="1:32">
      <c r="A50">
        <v>138</v>
      </c>
      <c r="B50" t="s">
        <v>85</v>
      </c>
      <c r="C50" s="3" t="s">
        <v>86</v>
      </c>
      <c r="D50" s="3" t="s">
        <v>87</v>
      </c>
      <c r="E50" t="s">
        <v>44</v>
      </c>
      <c r="F50" t="s">
        <v>45</v>
      </c>
      <c r="G50" s="3" t="s">
        <v>6</v>
      </c>
      <c r="H50" s="8">
        <v>46258.298280868097</v>
      </c>
      <c r="I50" s="3">
        <v>72.92</v>
      </c>
      <c r="J50" s="3" t="s">
        <v>47</v>
      </c>
      <c r="K50" s="5">
        <v>23.8</v>
      </c>
      <c r="L50" s="5">
        <v>178.5</v>
      </c>
      <c r="M50" s="5">
        <v>180.3</v>
      </c>
      <c r="N50" s="6">
        <v>0</v>
      </c>
      <c r="O50" s="6">
        <v>0</v>
      </c>
      <c r="P50" s="6">
        <v>2510</v>
      </c>
      <c r="Q50" s="6">
        <v>2831</v>
      </c>
      <c r="R50" s="7">
        <v>0.34</v>
      </c>
      <c r="S50" s="6">
        <v>857</v>
      </c>
      <c r="T50" s="6">
        <v>803</v>
      </c>
      <c r="U50" s="6">
        <v>0</v>
      </c>
      <c r="V50" s="6">
        <v>0</v>
      </c>
      <c r="W50" s="6">
        <v>696</v>
      </c>
      <c r="X50" s="6">
        <v>691</v>
      </c>
      <c r="Y50" s="6">
        <v>2430</v>
      </c>
      <c r="Z50" s="6">
        <v>2161</v>
      </c>
      <c r="AA50" s="6">
        <v>54035</v>
      </c>
      <c r="AB50" s="6">
        <v>63946</v>
      </c>
      <c r="AC50" s="6">
        <v>797</v>
      </c>
      <c r="AD50" s="6">
        <v>845</v>
      </c>
      <c r="AE50" s="6">
        <v>803</v>
      </c>
      <c r="AF50" s="6">
        <v>857</v>
      </c>
    </row>
    <row r="51" spans="1:32">
      <c r="A51">
        <v>138</v>
      </c>
      <c r="B51" t="s">
        <v>85</v>
      </c>
      <c r="C51" s="3" t="s">
        <v>86</v>
      </c>
      <c r="D51" s="3" t="s">
        <v>87</v>
      </c>
      <c r="E51" t="s">
        <v>44</v>
      </c>
      <c r="F51" t="s">
        <v>45</v>
      </c>
      <c r="G51" s="3" t="s">
        <v>6</v>
      </c>
      <c r="H51" s="8">
        <v>46258.298280868097</v>
      </c>
      <c r="I51" s="3">
        <v>72.92</v>
      </c>
      <c r="J51" s="3" t="s">
        <v>48</v>
      </c>
      <c r="K51" s="5">
        <v>23.7</v>
      </c>
      <c r="L51" s="5">
        <v>182.8</v>
      </c>
      <c r="M51" s="5">
        <v>188.7</v>
      </c>
      <c r="N51" s="6">
        <v>0</v>
      </c>
      <c r="O51" s="6">
        <v>0</v>
      </c>
      <c r="P51" s="6">
        <v>2441</v>
      </c>
      <c r="Q51" s="6">
        <v>2516</v>
      </c>
      <c r="R51" s="7">
        <v>0.32</v>
      </c>
      <c r="S51" s="6">
        <v>853</v>
      </c>
      <c r="T51" s="6">
        <v>821</v>
      </c>
      <c r="U51" s="6">
        <v>2</v>
      </c>
      <c r="V51" s="6">
        <v>0</v>
      </c>
      <c r="W51" s="6">
        <v>704</v>
      </c>
      <c r="X51" s="6">
        <v>719</v>
      </c>
      <c r="Y51" s="6">
        <v>2674</v>
      </c>
      <c r="Z51" s="6">
        <v>2425</v>
      </c>
      <c r="AA51" s="6">
        <v>57747</v>
      </c>
      <c r="AB51" s="6">
        <v>63665</v>
      </c>
      <c r="AC51" s="6">
        <v>812</v>
      </c>
      <c r="AD51" s="6">
        <v>829</v>
      </c>
      <c r="AE51" s="6">
        <v>821</v>
      </c>
      <c r="AF51" s="6">
        <v>853</v>
      </c>
    </row>
    <row r="52" spans="1:32">
      <c r="B52" t="s">
        <v>88</v>
      </c>
      <c r="C52" s="3" t="s">
        <v>89</v>
      </c>
      <c r="D52" s="3" t="s">
        <v>90</v>
      </c>
      <c r="E52" t="s">
        <v>44</v>
      </c>
      <c r="F52" t="s">
        <v>45</v>
      </c>
      <c r="G52" s="3" t="s">
        <v>6</v>
      </c>
      <c r="H52" s="8">
        <v>46258.295292708302</v>
      </c>
      <c r="I52" s="3">
        <v>63.63</v>
      </c>
      <c r="J52" s="3" t="s">
        <v>46</v>
      </c>
      <c r="K52" s="5">
        <v>29.5</v>
      </c>
      <c r="L52" s="5">
        <v>167.5</v>
      </c>
      <c r="M52" s="5">
        <v>155.69999999999999</v>
      </c>
      <c r="N52" s="6">
        <v>-54</v>
      </c>
      <c r="O52" s="6">
        <v>363</v>
      </c>
      <c r="P52" s="6">
        <v>2267</v>
      </c>
      <c r="Q52" s="6">
        <v>1877</v>
      </c>
      <c r="R52" s="7">
        <v>0.38</v>
      </c>
      <c r="S52" s="6">
        <v>684</v>
      </c>
      <c r="T52" s="6">
        <v>709</v>
      </c>
      <c r="U52" s="6">
        <v>0</v>
      </c>
      <c r="V52" s="6">
        <v>164</v>
      </c>
      <c r="W52" s="6">
        <v>658</v>
      </c>
      <c r="X52" s="6">
        <v>636</v>
      </c>
      <c r="Y52" s="6">
        <v>1731</v>
      </c>
      <c r="Z52" s="6">
        <v>1532</v>
      </c>
      <c r="AA52" s="6">
        <v>34813</v>
      </c>
      <c r="AB52" s="6">
        <v>39349</v>
      </c>
      <c r="AC52" s="6">
        <v>709</v>
      </c>
      <c r="AD52" s="6">
        <v>684</v>
      </c>
      <c r="AE52" s="6">
        <v>709</v>
      </c>
      <c r="AF52" s="6">
        <v>621</v>
      </c>
    </row>
    <row r="53" spans="1:32">
      <c r="B53" t="s">
        <v>88</v>
      </c>
      <c r="C53" s="3" t="s">
        <v>89</v>
      </c>
      <c r="D53" s="3" t="s">
        <v>90</v>
      </c>
      <c r="E53" t="s">
        <v>44</v>
      </c>
      <c r="F53" t="s">
        <v>45</v>
      </c>
      <c r="G53" s="3" t="s">
        <v>6</v>
      </c>
      <c r="H53" s="8">
        <v>46258.295292708302</v>
      </c>
      <c r="I53" s="3">
        <v>63.63</v>
      </c>
      <c r="J53" s="3" t="s">
        <v>47</v>
      </c>
      <c r="K53" s="5">
        <v>30.4</v>
      </c>
      <c r="L53" s="5">
        <v>164.6</v>
      </c>
      <c r="M53" s="5">
        <v>166.2</v>
      </c>
      <c r="N53" s="6">
        <v>0</v>
      </c>
      <c r="O53" s="6">
        <v>0</v>
      </c>
      <c r="P53" s="6">
        <v>2172</v>
      </c>
      <c r="Q53" s="6">
        <v>2003</v>
      </c>
      <c r="R53" s="7">
        <v>0.39</v>
      </c>
      <c r="S53" s="6">
        <v>698</v>
      </c>
      <c r="T53" s="6">
        <v>732</v>
      </c>
      <c r="U53" s="6">
        <v>0</v>
      </c>
      <c r="V53" s="6">
        <v>14</v>
      </c>
      <c r="W53" s="6">
        <v>634</v>
      </c>
      <c r="X53" s="6">
        <v>629</v>
      </c>
      <c r="Y53" s="6">
        <v>2309</v>
      </c>
      <c r="Z53" s="6">
        <v>3614</v>
      </c>
      <c r="AA53" s="6">
        <v>75287</v>
      </c>
      <c r="AB53" s="6">
        <v>52485</v>
      </c>
      <c r="AC53" s="6">
        <v>729</v>
      </c>
      <c r="AD53" s="6">
        <v>698</v>
      </c>
      <c r="AE53" s="6">
        <v>732</v>
      </c>
      <c r="AF53" s="6">
        <v>693</v>
      </c>
    </row>
    <row r="54" spans="1:32">
      <c r="B54" t="s">
        <v>88</v>
      </c>
      <c r="C54" s="3" t="s">
        <v>89</v>
      </c>
      <c r="D54" s="3" t="s">
        <v>90</v>
      </c>
      <c r="E54" t="s">
        <v>44</v>
      </c>
      <c r="F54" t="s">
        <v>45</v>
      </c>
      <c r="G54" s="3" t="s">
        <v>6</v>
      </c>
      <c r="H54" s="8">
        <v>46258.295292708302</v>
      </c>
      <c r="I54" s="3">
        <v>63.63</v>
      </c>
      <c r="J54" s="3" t="s">
        <v>48</v>
      </c>
      <c r="K54" s="5">
        <v>28.9</v>
      </c>
      <c r="L54" s="5">
        <v>167.6</v>
      </c>
      <c r="M54" s="5">
        <v>167.7</v>
      </c>
      <c r="N54" s="6">
        <v>301</v>
      </c>
      <c r="O54" s="6">
        <v>194</v>
      </c>
      <c r="P54" s="6">
        <v>1328</v>
      </c>
      <c r="Q54" s="6">
        <v>1025</v>
      </c>
      <c r="R54" s="7">
        <v>0.32</v>
      </c>
      <c r="S54" s="6">
        <v>661</v>
      </c>
      <c r="T54" s="6">
        <v>674</v>
      </c>
      <c r="U54" s="6">
        <v>198</v>
      </c>
      <c r="V54" s="6">
        <v>196</v>
      </c>
      <c r="W54" s="6">
        <v>626</v>
      </c>
      <c r="X54" s="6">
        <v>625</v>
      </c>
      <c r="Y54" s="6">
        <v>2027</v>
      </c>
      <c r="Z54" s="6">
        <v>1879</v>
      </c>
      <c r="AA54" s="6">
        <v>44733</v>
      </c>
      <c r="AB54" s="6">
        <v>48270</v>
      </c>
      <c r="AC54" s="6">
        <v>674</v>
      </c>
      <c r="AD54" s="6">
        <v>661</v>
      </c>
      <c r="AE54" s="6">
        <v>618</v>
      </c>
      <c r="AF54" s="6">
        <v>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SHIELD</cp:lastModifiedBy>
  <cp:revision/>
  <dcterms:created xsi:type="dcterms:W3CDTF">2026-09-18T15:21:03Z</dcterms:created>
  <dcterms:modified xsi:type="dcterms:W3CDTF">2026-09-18T17:40:52Z</dcterms:modified>
  <cp:category/>
  <cp:contentStatus/>
</cp:coreProperties>
</file>
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31" documentId="11_E60897F41BE170836B02CE998F75CCDC64E183C8" xr6:coauthVersionLast="47" xr6:coauthVersionMax="47" xr10:uidLastSave="{D9E300CA-4480-462A-8A2F-0805561F70E1}"/>
  <bookViews>
    <workbookView xWindow="240" yWindow="105" windowWidth="14805" windowHeight="8010" xr2:uid="{00000000-000D-0000-FFFF-FFFF00000000}"/>
  </bookViews>
  <sheets>
    <sheet name="Sesio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 a="1"/>
  <c r="D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<sst xmlns="http://schemas.openxmlformats.org/spreadsheetml/2006/main" count="300" uniqueCount="82">
  <si>
    <t>ForceDecks Test Results Export</t>
  </si>
  <si>
    <t>Export Date</t>
  </si>
  <si>
    <t>Test Date</t>
  </si>
  <si>
    <t>Export Profile</t>
  </si>
  <si>
    <t>Evaluaciones Borregos CMJ</t>
  </si>
  <si>
    <t>Export Test Type</t>
  </si>
  <si>
    <t>Countermovement Jump</t>
  </si>
  <si>
    <t>Export Trials</t>
  </si>
  <si>
    <t>Results from all trials within a test, one row/column per trial</t>
  </si>
  <si>
    <t>Number of Athletes</t>
  </si>
  <si>
    <t>Forms ID</t>
  </si>
  <si>
    <t>C000 ID</t>
  </si>
  <si>
    <t>Athlete</t>
  </si>
  <si>
    <t>Date of Birth</t>
  </si>
  <si>
    <t>Género</t>
  </si>
  <si>
    <t>Disciplina</t>
  </si>
  <si>
    <t>Test Type</t>
  </si>
  <si>
    <t>Body Weight [kg]</t>
  </si>
  <si>
    <t>Trial</t>
  </si>
  <si>
    <t>Jump Height (Imp-Mom) [cm]</t>
  </si>
  <si>
    <t>Concentric Impulse (Left) [N s]</t>
  </si>
  <si>
    <t>Concentric Impulse (Right) [N s]</t>
  </si>
  <si>
    <t>Concentric RFD (Left) [N/s]</t>
  </si>
  <si>
    <t>Concentric RFD (Right) [N/s]</t>
  </si>
  <si>
    <t>Eccentric Braking RFD (Left) [N/s]</t>
  </si>
  <si>
    <t>Eccentric Braking RFD (Right) [N/s]</t>
  </si>
  <si>
    <t>RSI-modified (Imp-Mom) [m/s]</t>
  </si>
  <si>
    <t>Takeoff Peak Force (Right) [N]</t>
  </si>
  <si>
    <t>Takeoff Peak Force (Left) [N]</t>
  </si>
  <si>
    <t>Concentric Time to Peak Force (Left) [ms]</t>
  </si>
  <si>
    <t>Concentric Time to Peak Force (Right) [ms]</t>
  </si>
  <si>
    <t>Force at Peak Power (Left) [N]</t>
  </si>
  <si>
    <t>Force at Peak Power (Right) [N]</t>
  </si>
  <si>
    <t>Peak Landing Force (Left) [N]</t>
  </si>
  <si>
    <t>Peak Landing Force (Right) [N]</t>
  </si>
  <si>
    <t>Landing RFD (Right) [N/s]</t>
  </si>
  <si>
    <t>Landing RFD (Left) [N/s]</t>
  </si>
  <si>
    <t>Concentric Peak Force (Left) [N]</t>
  </si>
  <si>
    <t>Concentric Peak Force (Right) [N]</t>
  </si>
  <si>
    <t>Eccentric Peak Force (Left) [N]</t>
  </si>
  <si>
    <t>Eccentric Peak Force (Right) [N]</t>
  </si>
  <si>
    <t>C212</t>
  </si>
  <si>
    <t>Enrique Saldo al</t>
  </si>
  <si>
    <t>27/12/2002</t>
  </si>
  <si>
    <t>Hombre</t>
  </si>
  <si>
    <t>Volleyball</t>
  </si>
  <si>
    <t>Trial 1</t>
  </si>
  <si>
    <t>Trial 2</t>
  </si>
  <si>
    <t>Trial 3</t>
  </si>
  <si>
    <t>C204</t>
  </si>
  <si>
    <t>Arnoldo Hurtado</t>
  </si>
  <si>
    <t>27/01/2007</t>
  </si>
  <si>
    <t>C202</t>
  </si>
  <si>
    <t xml:space="preserve">Isaí  Gudiño </t>
  </si>
  <si>
    <t>11/11/2007</t>
  </si>
  <si>
    <t>C206</t>
  </si>
  <si>
    <t>Alan Alvarado</t>
  </si>
  <si>
    <t>15/11/2002</t>
  </si>
  <si>
    <t>C209</t>
  </si>
  <si>
    <t>Jesus Rodriguez</t>
  </si>
  <si>
    <t>01/12/2006</t>
  </si>
  <si>
    <t>C201</t>
  </si>
  <si>
    <t>Emilio Alonso</t>
  </si>
  <si>
    <t>19/07/2006</t>
  </si>
  <si>
    <t>C208</t>
  </si>
  <si>
    <t>Angel Moreno</t>
  </si>
  <si>
    <t>30/11/2006</t>
  </si>
  <si>
    <t>C210</t>
  </si>
  <si>
    <t>Luis Ayala</t>
  </si>
  <si>
    <t>28/08/2007</t>
  </si>
  <si>
    <t>C211</t>
  </si>
  <si>
    <t>Rodrigo Quiroga</t>
  </si>
  <si>
    <t>14/08/2007</t>
  </si>
  <si>
    <t>C205</t>
  </si>
  <si>
    <t>Santiago Bernal</t>
  </si>
  <si>
    <t>18/05/2007</t>
  </si>
  <si>
    <t>C203</t>
  </si>
  <si>
    <t xml:space="preserve">Santiago Pérez </t>
  </si>
  <si>
    <t>24/10/2007</t>
  </si>
  <si>
    <t>C207</t>
  </si>
  <si>
    <t>Luca Sagnelli</t>
  </si>
  <si>
    <t>09/01/2006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</si>
</sst>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"/>
    <numFmt numFmtId="165" formatCode="0.0"/>
  </numFmts>
  <fonts count="2">
    <font>
      <sz val="11"/>
      <color theme="1"/>
      <name val="Calibri"/>
      <family val="2"/>
      <scheme val="minor"/>
    </font>
    <font>
      <b/>
      <i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0" fillId="0" borderId="0" xfId="0" applyAlignment="1">
      <alignment horizontal="right" vertical="top"/>
    </xf>
    <xf numFmtId="22" fontId="0" fillId="0" borderId="0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5"/>
  <sheetViews>
    <sheetView tabSelected="1" workbookViewId="0">
      <selection activeCell="G2" sqref="G2"/>
    </sheetView>
  </sheetViews>
  <sheetFormatPr defaultRowHeight="15"/>
  <cols>
    <col min="3" max="3" width="17.42578125" customWidth="1"/>
    <col min="4" max="4" width="17" bestFit="1" customWidth="1"/>
    <col min="8" max="8" width="17" bestFit="1" customWidth="1"/>
  </cols>
  <sheetData>
    <row r="1" spans="1:32">
      <c r="C1" s="1" t="s">
        <v>0</v>
      </c>
    </row>
    <row r="2" spans="1:32">
      <c r="C2" s="1" t="s">
        <v>1</v>
      </c>
      <c r="D2" s="4">
        <v>46280.436099537037</v>
      </c>
    </row>
    <row r="3" spans="1:32">
      <c r="C3" s="1" t="s">
        <v>2</v>
      </c>
      <c r="D3" s="9">
        <v>46272.5</v>
      </c>
    </row>
    <row r="4" spans="1:32">
      <c r="C4" s="1" t="s">
        <v>3</v>
      </c>
      <c r="D4" s="3" t="s">
        <v>4</v>
      </c>
    </row>
    <row r="5" spans="1:32">
      <c r="C5" s="1" t="s">
        <v>5</v>
      </c>
      <c r="D5" s="3" t="s">
        <v>6</v>
      </c>
    </row>
    <row r="6" spans="1:32">
      <c r="C6" s="1" t="s">
        <v>7</v>
      </c>
      <c r="D6" s="3" t="s">
        <v>8</v>
      </c>
    </row>
    <row r="7" spans="1:32">
      <c r="C7" s="1" t="s">
        <v>9</v>
      </c>
      <c r="D7" s="8" cm="1">
        <f t="array" ref="D7">COUNTA(_xlfn._xlws.FILTER(_xlfn.UNIQUE(C11:C201),_xlfn.UNIQUE(C11:C201)&lt;&gt;0))</f>
        <v>12</v>
      </c>
    </row>
    <row r="9" spans="1:32">
      <c r="A9" s="2" t="s">
        <v>10</v>
      </c>
      <c r="B9" s="2" t="s">
        <v>11</v>
      </c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2</v>
      </c>
      <c r="I9" s="2" t="s">
        <v>17</v>
      </c>
      <c r="J9" s="2" t="s">
        <v>18</v>
      </c>
      <c r="K9" s="2" t="s">
        <v>19</v>
      </c>
      <c r="L9" s="2" t="s">
        <v>20</v>
      </c>
      <c r="M9" s="2" t="s">
        <v>21</v>
      </c>
      <c r="N9" s="2" t="s">
        <v>22</v>
      </c>
      <c r="O9" s="2" t="s">
        <v>23</v>
      </c>
      <c r="P9" s="2" t="s">
        <v>24</v>
      </c>
      <c r="Q9" s="2" t="s">
        <v>25</v>
      </c>
      <c r="R9" s="2" t="s">
        <v>26</v>
      </c>
      <c r="S9" s="2" t="s">
        <v>27</v>
      </c>
      <c r="T9" s="2" t="s">
        <v>28</v>
      </c>
      <c r="U9" s="2" t="s">
        <v>29</v>
      </c>
      <c r="V9" s="2" t="s">
        <v>30</v>
      </c>
      <c r="W9" s="2" t="s">
        <v>31</v>
      </c>
      <c r="X9" s="2" t="s">
        <v>32</v>
      </c>
      <c r="Y9" s="2" t="s">
        <v>33</v>
      </c>
      <c r="Z9" s="2" t="s">
        <v>34</v>
      </c>
      <c r="AA9" s="2" t="s">
        <v>35</v>
      </c>
      <c r="AB9" s="2" t="s">
        <v>36</v>
      </c>
      <c r="AC9" s="2" t="s">
        <v>37</v>
      </c>
      <c r="AD9" s="2" t="s">
        <v>38</v>
      </c>
      <c r="AE9" s="2" t="s">
        <v>39</v>
      </c>
      <c r="AF9" s="2" t="s">
        <v>40</v>
      </c>
    </row>
    <row r="10" spans="1:32">
      <c r="A10" t="s">
        <v>41</v>
      </c>
      <c r="B10" t="s">
        <v>41</v>
      </c>
      <c r="C10" s="3" t="s">
        <v>42</v>
      </c>
      <c r="D10" s="3" t="s">
        <v>43</v>
      </c>
      <c r="E10" t="s">
        <v>44</v>
      </c>
      <c r="F10" t="s">
        <v>45</v>
      </c>
      <c r="G10" s="3" t="s">
        <v>6</v>
      </c>
      <c r="H10" s="4">
        <v>46272.519238888897</v>
      </c>
      <c r="I10" s="3">
        <v>85.68</v>
      </c>
      <c r="J10" s="3" t="s">
        <v>46</v>
      </c>
      <c r="K10" s="5">
        <v>39.200000000000003</v>
      </c>
      <c r="L10" s="5">
        <v>237.2</v>
      </c>
      <c r="M10" s="5">
        <v>235</v>
      </c>
      <c r="N10" s="6">
        <v>0</v>
      </c>
      <c r="O10" s="6">
        <v>1250</v>
      </c>
      <c r="P10" s="6">
        <v>3511</v>
      </c>
      <c r="Q10" s="6">
        <v>3556</v>
      </c>
      <c r="R10" s="7">
        <v>0.52</v>
      </c>
      <c r="S10" s="6">
        <v>995</v>
      </c>
      <c r="T10" s="6">
        <v>1050</v>
      </c>
      <c r="U10" s="6">
        <v>6</v>
      </c>
      <c r="V10" s="6">
        <v>4</v>
      </c>
      <c r="W10" s="6">
        <v>880</v>
      </c>
      <c r="X10" s="6">
        <v>936</v>
      </c>
      <c r="Y10" s="6">
        <v>1865</v>
      </c>
      <c r="Z10" s="6">
        <v>1351</v>
      </c>
      <c r="AA10" s="6">
        <v>14682</v>
      </c>
      <c r="AB10" s="6">
        <v>24543</v>
      </c>
      <c r="AC10" s="6">
        <v>1048</v>
      </c>
      <c r="AD10" s="6">
        <v>995</v>
      </c>
      <c r="AE10" s="6">
        <v>1050</v>
      </c>
      <c r="AF10" s="6">
        <v>990</v>
      </c>
    </row>
    <row r="11" spans="1:32">
      <c r="A11" t="s">
        <v>41</v>
      </c>
      <c r="B11" t="s">
        <v>41</v>
      </c>
      <c r="C11" s="3" t="s">
        <v>42</v>
      </c>
      <c r="D11" s="3" t="s">
        <v>43</v>
      </c>
      <c r="E11" t="s">
        <v>44</v>
      </c>
      <c r="F11" t="s">
        <v>45</v>
      </c>
      <c r="G11" s="3" t="s">
        <v>6</v>
      </c>
      <c r="H11" s="4">
        <v>46272.519238888897</v>
      </c>
      <c r="I11" s="3">
        <v>85.68</v>
      </c>
      <c r="J11" s="3" t="s">
        <v>47</v>
      </c>
      <c r="K11" s="5">
        <v>40.200000000000003</v>
      </c>
      <c r="L11" s="5">
        <v>238.8</v>
      </c>
      <c r="M11" s="5">
        <v>252.3</v>
      </c>
      <c r="N11" s="6">
        <v>167</v>
      </c>
      <c r="O11" s="6">
        <v>1167</v>
      </c>
      <c r="P11" s="6">
        <v>3003</v>
      </c>
      <c r="Q11" s="6">
        <v>2820</v>
      </c>
      <c r="R11" s="7">
        <v>0.51</v>
      </c>
      <c r="S11" s="6">
        <v>979</v>
      </c>
      <c r="T11" s="6">
        <v>1005</v>
      </c>
      <c r="U11" s="6">
        <v>6</v>
      </c>
      <c r="V11" s="6">
        <v>222</v>
      </c>
      <c r="W11" s="6">
        <v>863</v>
      </c>
      <c r="X11" s="6">
        <v>965</v>
      </c>
      <c r="Y11" s="6">
        <v>1819</v>
      </c>
      <c r="Z11" s="6">
        <v>2106</v>
      </c>
      <c r="AA11" s="6">
        <v>33964</v>
      </c>
      <c r="AB11" s="6">
        <v>25267</v>
      </c>
      <c r="AC11" s="6">
        <v>1005</v>
      </c>
      <c r="AD11" s="6">
        <v>979</v>
      </c>
      <c r="AE11" s="6">
        <v>1004</v>
      </c>
      <c r="AF11" s="6">
        <v>964</v>
      </c>
    </row>
    <row r="12" spans="1:32">
      <c r="A12" t="s">
        <v>41</v>
      </c>
      <c r="B12" t="s">
        <v>41</v>
      </c>
      <c r="C12" s="3" t="s">
        <v>42</v>
      </c>
      <c r="D12" s="3" t="s">
        <v>43</v>
      </c>
      <c r="E12" t="s">
        <v>44</v>
      </c>
      <c r="F12" t="s">
        <v>45</v>
      </c>
      <c r="G12" s="3" t="s">
        <v>6</v>
      </c>
      <c r="H12" s="4">
        <v>46272.519236111111</v>
      </c>
      <c r="I12" s="3">
        <v>85.68</v>
      </c>
      <c r="J12" s="3" t="s">
        <v>48</v>
      </c>
      <c r="K12" s="5">
        <v>39.700000000000003</v>
      </c>
      <c r="L12" s="5">
        <v>238.3</v>
      </c>
      <c r="M12" s="5">
        <v>242.1</v>
      </c>
      <c r="N12" s="6">
        <v>1000</v>
      </c>
      <c r="O12" s="6">
        <v>500</v>
      </c>
      <c r="P12" s="6">
        <v>2749</v>
      </c>
      <c r="Q12" s="6">
        <v>2879</v>
      </c>
      <c r="R12" s="7">
        <v>0.51</v>
      </c>
      <c r="S12" s="6">
        <v>986</v>
      </c>
      <c r="T12" s="6">
        <v>1000</v>
      </c>
      <c r="U12" s="6">
        <v>2</v>
      </c>
      <c r="V12" s="6">
        <v>2</v>
      </c>
      <c r="W12" s="6">
        <v>881</v>
      </c>
      <c r="X12" s="6">
        <v>942</v>
      </c>
      <c r="Y12" s="6">
        <v>1438</v>
      </c>
      <c r="Z12" s="6">
        <v>1305</v>
      </c>
      <c r="AA12" s="6">
        <v>13880</v>
      </c>
      <c r="AB12" s="6">
        <v>16344</v>
      </c>
      <c r="AC12" s="6">
        <v>1000</v>
      </c>
      <c r="AD12" s="6">
        <v>986</v>
      </c>
      <c r="AE12" s="6">
        <v>998</v>
      </c>
      <c r="AF12" s="6">
        <v>986</v>
      </c>
    </row>
    <row r="13" spans="1:32">
      <c r="A13" t="s">
        <v>49</v>
      </c>
      <c r="B13" t="s">
        <v>49</v>
      </c>
      <c r="C13" s="3" t="s">
        <v>50</v>
      </c>
      <c r="D13" s="3" t="s">
        <v>51</v>
      </c>
      <c r="E13" t="s">
        <v>44</v>
      </c>
      <c r="F13" t="s">
        <v>45</v>
      </c>
      <c r="G13" s="3" t="s">
        <v>6</v>
      </c>
      <c r="H13" s="4">
        <v>46272.515568252304</v>
      </c>
      <c r="I13" s="3">
        <v>88.05</v>
      </c>
      <c r="J13" s="3" t="s">
        <v>46</v>
      </c>
      <c r="K13" s="5">
        <v>45.7</v>
      </c>
      <c r="L13" s="5">
        <v>229.7</v>
      </c>
      <c r="M13" s="5">
        <v>257.60000000000002</v>
      </c>
      <c r="N13" s="6">
        <v>0</v>
      </c>
      <c r="O13" s="6">
        <v>0</v>
      </c>
      <c r="P13" s="6">
        <v>3212</v>
      </c>
      <c r="Q13" s="6">
        <v>2305</v>
      </c>
      <c r="R13" s="7">
        <v>0.56999999999999995</v>
      </c>
      <c r="S13" s="6">
        <v>1155</v>
      </c>
      <c r="T13" s="6">
        <v>1178</v>
      </c>
      <c r="U13" s="6">
        <v>0</v>
      </c>
      <c r="V13" s="6">
        <v>136</v>
      </c>
      <c r="W13" s="6">
        <v>885</v>
      </c>
      <c r="X13" s="6">
        <v>1089</v>
      </c>
      <c r="Y13" s="6">
        <v>2394</v>
      </c>
      <c r="Z13" s="6">
        <v>3779</v>
      </c>
      <c r="AA13" s="6">
        <v>75580</v>
      </c>
      <c r="AB13" s="6">
        <v>44332</v>
      </c>
      <c r="AC13" s="6">
        <v>1156</v>
      </c>
      <c r="AD13" s="6">
        <v>1155</v>
      </c>
      <c r="AE13" s="6">
        <v>1178</v>
      </c>
      <c r="AF13" s="6">
        <v>1070</v>
      </c>
    </row>
    <row r="14" spans="1:32">
      <c r="A14" t="s">
        <v>49</v>
      </c>
      <c r="B14" t="s">
        <v>49</v>
      </c>
      <c r="C14" s="3" t="s">
        <v>50</v>
      </c>
      <c r="D14" s="3" t="s">
        <v>51</v>
      </c>
      <c r="E14" t="s">
        <v>44</v>
      </c>
      <c r="F14" t="s">
        <v>45</v>
      </c>
      <c r="G14" s="3" t="s">
        <v>6</v>
      </c>
      <c r="H14" s="4">
        <v>46272.515568252304</v>
      </c>
      <c r="I14" s="3">
        <v>88.05</v>
      </c>
      <c r="J14" s="3" t="s">
        <v>47</v>
      </c>
      <c r="K14" s="5">
        <v>45.8</v>
      </c>
      <c r="L14" s="5">
        <v>242.3</v>
      </c>
      <c r="M14" s="5">
        <v>244.6</v>
      </c>
      <c r="N14" s="6">
        <v>0</v>
      </c>
      <c r="O14" s="6">
        <v>0</v>
      </c>
      <c r="P14" s="6">
        <v>3335</v>
      </c>
      <c r="Q14" s="6">
        <v>2311</v>
      </c>
      <c r="R14" s="7">
        <v>0.59</v>
      </c>
      <c r="S14" s="6">
        <v>1146</v>
      </c>
      <c r="T14" s="6">
        <v>1181</v>
      </c>
      <c r="U14" s="6">
        <v>2</v>
      </c>
      <c r="V14" s="6">
        <v>140</v>
      </c>
      <c r="W14" s="6">
        <v>933</v>
      </c>
      <c r="X14" s="6">
        <v>1074</v>
      </c>
      <c r="Y14" s="6">
        <v>2288</v>
      </c>
      <c r="Z14" s="6">
        <v>1994</v>
      </c>
      <c r="AA14" s="6">
        <v>36926</v>
      </c>
      <c r="AB14" s="6">
        <v>42369</v>
      </c>
      <c r="AC14" s="6">
        <v>1171</v>
      </c>
      <c r="AD14" s="6">
        <v>1146</v>
      </c>
      <c r="AE14" s="6">
        <v>1181</v>
      </c>
      <c r="AF14" s="6">
        <v>1052</v>
      </c>
    </row>
    <row r="15" spans="1:32">
      <c r="A15" t="s">
        <v>49</v>
      </c>
      <c r="B15" t="s">
        <v>49</v>
      </c>
      <c r="C15" s="3" t="s">
        <v>50</v>
      </c>
      <c r="D15" s="3" t="s">
        <v>51</v>
      </c>
      <c r="E15" t="s">
        <v>44</v>
      </c>
      <c r="F15" t="s">
        <v>45</v>
      </c>
      <c r="G15" s="3" t="s">
        <v>6</v>
      </c>
      <c r="H15" s="4">
        <v>46272.515568252304</v>
      </c>
      <c r="I15" s="3">
        <v>88.05</v>
      </c>
      <c r="J15" s="3" t="s">
        <v>48</v>
      </c>
      <c r="K15" s="5">
        <v>46.8</v>
      </c>
      <c r="L15" s="5">
        <v>245.3</v>
      </c>
      <c r="M15" s="5">
        <v>257</v>
      </c>
      <c r="N15" s="6">
        <v>0</v>
      </c>
      <c r="O15" s="6">
        <v>0</v>
      </c>
      <c r="P15" s="6">
        <v>3410</v>
      </c>
      <c r="Q15" s="6">
        <v>2977</v>
      </c>
      <c r="R15" s="7">
        <v>0.55000000000000004</v>
      </c>
      <c r="S15" s="6">
        <v>1142</v>
      </c>
      <c r="T15" s="6">
        <v>1191</v>
      </c>
      <c r="U15" s="6">
        <v>0</v>
      </c>
      <c r="V15" s="6">
        <v>0</v>
      </c>
      <c r="W15" s="6">
        <v>900</v>
      </c>
      <c r="X15" s="6">
        <v>1059</v>
      </c>
      <c r="Y15" s="6">
        <v>2346</v>
      </c>
      <c r="Z15" s="6">
        <v>3389</v>
      </c>
      <c r="AA15" s="6">
        <v>67780</v>
      </c>
      <c r="AB15" s="6">
        <v>46918</v>
      </c>
      <c r="AC15" s="6">
        <v>1170</v>
      </c>
      <c r="AD15" s="6">
        <v>1115</v>
      </c>
      <c r="AE15" s="6">
        <v>1191</v>
      </c>
      <c r="AF15" s="6">
        <v>1142</v>
      </c>
    </row>
    <row r="16" spans="1:32">
      <c r="B16" t="s">
        <v>52</v>
      </c>
      <c r="C16" s="3" t="s">
        <v>53</v>
      </c>
      <c r="D16" s="3" t="s">
        <v>54</v>
      </c>
      <c r="E16" t="s">
        <v>44</v>
      </c>
      <c r="F16" t="s">
        <v>45</v>
      </c>
      <c r="G16" s="3" t="s">
        <v>6</v>
      </c>
      <c r="H16" s="4">
        <v>46272.5120248495</v>
      </c>
      <c r="I16" s="3">
        <v>81.66</v>
      </c>
      <c r="J16" s="3" t="s">
        <v>46</v>
      </c>
      <c r="K16" s="5">
        <v>44.5</v>
      </c>
      <c r="L16" s="5">
        <v>243.1</v>
      </c>
      <c r="M16" s="5">
        <v>240.5</v>
      </c>
      <c r="N16" s="6">
        <v>0</v>
      </c>
      <c r="O16" s="6">
        <v>0</v>
      </c>
      <c r="P16" s="6">
        <v>3454</v>
      </c>
      <c r="Q16" s="6">
        <v>3428</v>
      </c>
      <c r="R16" s="7">
        <v>0.55000000000000004</v>
      </c>
      <c r="S16" s="6">
        <v>1096</v>
      </c>
      <c r="T16" s="6">
        <v>1118</v>
      </c>
      <c r="U16" s="6">
        <v>0</v>
      </c>
      <c r="V16" s="6">
        <v>0</v>
      </c>
      <c r="W16" s="6">
        <v>818</v>
      </c>
      <c r="X16" s="6">
        <v>811</v>
      </c>
      <c r="Y16" s="6">
        <v>1236</v>
      </c>
      <c r="Z16" s="6">
        <v>1514</v>
      </c>
      <c r="AA16" s="6">
        <v>75687</v>
      </c>
      <c r="AB16" s="6">
        <v>61812</v>
      </c>
      <c r="AC16" s="6">
        <v>1070</v>
      </c>
      <c r="AD16" s="6">
        <v>1074</v>
      </c>
      <c r="AE16" s="6">
        <v>1118</v>
      </c>
      <c r="AF16" s="6">
        <v>1096</v>
      </c>
    </row>
    <row r="17" spans="2:32">
      <c r="B17" t="s">
        <v>52</v>
      </c>
      <c r="C17" s="3" t="s">
        <v>53</v>
      </c>
      <c r="D17" s="3" t="s">
        <v>54</v>
      </c>
      <c r="E17" t="s">
        <v>44</v>
      </c>
      <c r="F17" t="s">
        <v>45</v>
      </c>
      <c r="G17" s="3" t="s">
        <v>6</v>
      </c>
      <c r="H17" s="4">
        <v>46272.5120248495</v>
      </c>
      <c r="I17" s="3">
        <v>81.66</v>
      </c>
      <c r="J17" s="3" t="s">
        <v>47</v>
      </c>
      <c r="K17" s="5">
        <v>44.4</v>
      </c>
      <c r="L17" s="5">
        <v>247.6</v>
      </c>
      <c r="M17" s="5">
        <v>241.9</v>
      </c>
      <c r="N17" s="6">
        <v>0</v>
      </c>
      <c r="O17" s="6">
        <v>0</v>
      </c>
      <c r="P17" s="6">
        <v>3205</v>
      </c>
      <c r="Q17" s="6">
        <v>2655</v>
      </c>
      <c r="R17" s="7">
        <v>0.54</v>
      </c>
      <c r="S17" s="6">
        <v>1070</v>
      </c>
      <c r="T17" s="6">
        <v>1124</v>
      </c>
      <c r="U17" s="6">
        <v>0</v>
      </c>
      <c r="V17" s="6">
        <v>0</v>
      </c>
      <c r="W17" s="6">
        <v>829</v>
      </c>
      <c r="X17" s="6">
        <v>823</v>
      </c>
      <c r="Y17" s="6">
        <v>1028</v>
      </c>
      <c r="Z17" s="6">
        <v>2254</v>
      </c>
      <c r="AA17" s="6">
        <v>140859</v>
      </c>
      <c r="AB17" s="6">
        <v>12241</v>
      </c>
      <c r="AC17" s="6">
        <v>1066</v>
      </c>
      <c r="AD17" s="6">
        <v>1037</v>
      </c>
      <c r="AE17" s="6">
        <v>1124</v>
      </c>
      <c r="AF17" s="6">
        <v>1070</v>
      </c>
    </row>
    <row r="18" spans="2:32">
      <c r="B18" t="s">
        <v>52</v>
      </c>
      <c r="C18" s="3" t="s">
        <v>53</v>
      </c>
      <c r="D18" s="3" t="s">
        <v>54</v>
      </c>
      <c r="E18" t="s">
        <v>44</v>
      </c>
      <c r="F18" t="s">
        <v>45</v>
      </c>
      <c r="G18" s="3" t="s">
        <v>6</v>
      </c>
      <c r="H18" s="4">
        <v>46272.5120248495</v>
      </c>
      <c r="I18" s="3">
        <v>81.66</v>
      </c>
      <c r="J18" s="3" t="s">
        <v>48</v>
      </c>
      <c r="K18" s="5">
        <v>44</v>
      </c>
      <c r="L18" s="5">
        <v>248.9</v>
      </c>
      <c r="M18" s="5">
        <v>250.3</v>
      </c>
      <c r="N18" s="6">
        <v>0</v>
      </c>
      <c r="O18" s="6">
        <v>0</v>
      </c>
      <c r="P18" s="6">
        <v>2776</v>
      </c>
      <c r="Q18" s="6">
        <v>2313</v>
      </c>
      <c r="R18" s="7">
        <v>0.51</v>
      </c>
      <c r="S18" s="6">
        <v>1084</v>
      </c>
      <c r="T18" s="6">
        <v>1113</v>
      </c>
      <c r="U18" s="6">
        <v>0</v>
      </c>
      <c r="V18" s="6">
        <v>0</v>
      </c>
      <c r="W18" s="6">
        <v>816</v>
      </c>
      <c r="X18" s="6">
        <v>834</v>
      </c>
      <c r="Y18" s="6">
        <v>2007</v>
      </c>
      <c r="Z18" s="6">
        <v>2617</v>
      </c>
      <c r="AA18" s="6">
        <v>163547</v>
      </c>
      <c r="AB18" s="6">
        <v>27125</v>
      </c>
      <c r="AC18" s="6">
        <v>1067</v>
      </c>
      <c r="AD18" s="6">
        <v>1060</v>
      </c>
      <c r="AE18" s="6">
        <v>1113</v>
      </c>
      <c r="AF18" s="6">
        <v>1084</v>
      </c>
    </row>
    <row r="19" spans="2:32">
      <c r="B19" t="s">
        <v>55</v>
      </c>
      <c r="C19" s="3" t="s">
        <v>56</v>
      </c>
      <c r="D19" s="3" t="s">
        <v>57</v>
      </c>
      <c r="E19" t="s">
        <v>44</v>
      </c>
      <c r="F19" t="s">
        <v>45</v>
      </c>
      <c r="G19" s="3" t="s">
        <v>6</v>
      </c>
      <c r="H19" s="4">
        <v>46272.509439965303</v>
      </c>
      <c r="I19" s="3">
        <v>97.22</v>
      </c>
      <c r="J19" s="3" t="s">
        <v>46</v>
      </c>
      <c r="K19" s="5">
        <v>44.6</v>
      </c>
      <c r="L19" s="5">
        <v>276.8</v>
      </c>
      <c r="M19" s="5">
        <v>240.5</v>
      </c>
      <c r="N19" s="6">
        <v>-1000</v>
      </c>
      <c r="O19" s="6">
        <v>2500</v>
      </c>
      <c r="P19" s="6">
        <v>4659</v>
      </c>
      <c r="Q19" s="6">
        <v>3277</v>
      </c>
      <c r="R19" s="7">
        <v>0.64</v>
      </c>
      <c r="S19" s="6">
        <v>1129</v>
      </c>
      <c r="T19" s="6">
        <v>1496</v>
      </c>
      <c r="U19" s="6">
        <v>0</v>
      </c>
      <c r="V19" s="6">
        <v>156</v>
      </c>
      <c r="W19" s="6">
        <v>1172</v>
      </c>
      <c r="X19" s="6">
        <v>1086</v>
      </c>
      <c r="Y19" s="6">
        <v>3814</v>
      </c>
      <c r="Z19" s="6">
        <v>2375</v>
      </c>
      <c r="AA19" s="6">
        <v>56542</v>
      </c>
      <c r="AB19" s="6">
        <v>105951</v>
      </c>
      <c r="AC19" s="6">
        <v>1488</v>
      </c>
      <c r="AD19" s="6">
        <v>1129</v>
      </c>
      <c r="AE19" s="6">
        <v>1496</v>
      </c>
      <c r="AF19" s="6">
        <v>1070</v>
      </c>
    </row>
    <row r="20" spans="2:32">
      <c r="B20" t="s">
        <v>55</v>
      </c>
      <c r="C20" s="3" t="s">
        <v>56</v>
      </c>
      <c r="D20" s="3" t="s">
        <v>57</v>
      </c>
      <c r="E20" t="s">
        <v>44</v>
      </c>
      <c r="F20" t="s">
        <v>45</v>
      </c>
      <c r="G20" s="3" t="s">
        <v>6</v>
      </c>
      <c r="H20" s="4">
        <v>46272.509439965303</v>
      </c>
      <c r="I20" s="3">
        <v>97.22</v>
      </c>
      <c r="J20" s="3" t="s">
        <v>47</v>
      </c>
      <c r="K20" s="5">
        <v>44.7</v>
      </c>
      <c r="L20" s="5">
        <v>271.5</v>
      </c>
      <c r="M20" s="5">
        <v>248.6</v>
      </c>
      <c r="N20" s="6">
        <v>0</v>
      </c>
      <c r="O20" s="6">
        <v>0</v>
      </c>
      <c r="P20" s="6">
        <v>4824</v>
      </c>
      <c r="Q20" s="6">
        <v>3644</v>
      </c>
      <c r="R20" s="7">
        <v>0.63</v>
      </c>
      <c r="S20" s="6">
        <v>1163</v>
      </c>
      <c r="T20" s="6">
        <v>1498</v>
      </c>
      <c r="U20" s="6">
        <v>0</v>
      </c>
      <c r="V20" s="6">
        <v>32</v>
      </c>
      <c r="W20" s="6">
        <v>1144</v>
      </c>
      <c r="X20" s="6">
        <v>1097</v>
      </c>
      <c r="Y20" s="6">
        <v>2805</v>
      </c>
      <c r="Z20" s="6">
        <v>2860</v>
      </c>
      <c r="AA20" s="6">
        <v>51067</v>
      </c>
      <c r="AB20" s="6">
        <v>53947</v>
      </c>
      <c r="AC20" s="6">
        <v>1498</v>
      </c>
      <c r="AD20" s="6">
        <v>1163</v>
      </c>
      <c r="AE20" s="6">
        <v>1498</v>
      </c>
      <c r="AF20" s="6">
        <v>1125</v>
      </c>
    </row>
    <row r="21" spans="2:32">
      <c r="B21" t="s">
        <v>55</v>
      </c>
      <c r="C21" s="3" t="s">
        <v>56</v>
      </c>
      <c r="D21" s="3" t="s">
        <v>57</v>
      </c>
      <c r="E21" t="s">
        <v>44</v>
      </c>
      <c r="F21" t="s">
        <v>45</v>
      </c>
      <c r="G21" s="3" t="s">
        <v>6</v>
      </c>
      <c r="H21" s="4">
        <v>46272.509439965303</v>
      </c>
      <c r="I21" s="3">
        <v>97.22</v>
      </c>
      <c r="J21" s="3" t="s">
        <v>48</v>
      </c>
      <c r="K21" s="5">
        <v>44.4</v>
      </c>
      <c r="L21" s="5">
        <v>269</v>
      </c>
      <c r="M21" s="5">
        <v>246.3</v>
      </c>
      <c r="N21" s="6">
        <v>0</v>
      </c>
      <c r="O21" s="6">
        <v>0</v>
      </c>
      <c r="P21" s="6">
        <v>5565</v>
      </c>
      <c r="Q21" s="6">
        <v>3993</v>
      </c>
      <c r="R21" s="7">
        <v>0.65</v>
      </c>
      <c r="S21" s="6">
        <v>1198</v>
      </c>
      <c r="T21" s="6">
        <v>1547</v>
      </c>
      <c r="U21" s="6">
        <v>0</v>
      </c>
      <c r="V21" s="6">
        <v>40</v>
      </c>
      <c r="W21" s="6">
        <v>1151</v>
      </c>
      <c r="X21" s="6">
        <v>1086</v>
      </c>
      <c r="Y21" s="6">
        <v>4019</v>
      </c>
      <c r="Z21" s="6">
        <v>3165</v>
      </c>
      <c r="AA21" s="6">
        <v>98898</v>
      </c>
      <c r="AB21" s="6">
        <v>125601</v>
      </c>
      <c r="AC21" s="6">
        <v>1499</v>
      </c>
      <c r="AD21" s="6">
        <v>1198</v>
      </c>
      <c r="AE21" s="6">
        <v>1547</v>
      </c>
      <c r="AF21" s="6">
        <v>1185</v>
      </c>
    </row>
    <row r="22" spans="2:32">
      <c r="B22" t="s">
        <v>58</v>
      </c>
      <c r="C22" s="3" t="s">
        <v>59</v>
      </c>
      <c r="D22" s="3" t="s">
        <v>60</v>
      </c>
      <c r="E22" t="s">
        <v>44</v>
      </c>
      <c r="F22" t="s">
        <v>45</v>
      </c>
      <c r="G22" s="3" t="s">
        <v>6</v>
      </c>
      <c r="H22" s="4">
        <v>46272.507159571796</v>
      </c>
      <c r="I22" s="3">
        <v>85.67</v>
      </c>
      <c r="J22" s="3" t="s">
        <v>46</v>
      </c>
      <c r="K22" s="5">
        <v>40.4</v>
      </c>
      <c r="L22" s="5">
        <v>255.5</v>
      </c>
      <c r="M22" s="5">
        <v>261.89999999999998</v>
      </c>
      <c r="N22" s="6">
        <v>0</v>
      </c>
      <c r="O22" s="6">
        <v>0</v>
      </c>
      <c r="P22" s="6">
        <v>2656</v>
      </c>
      <c r="Q22" s="6">
        <v>2995</v>
      </c>
      <c r="R22" s="7">
        <v>0.44</v>
      </c>
      <c r="S22" s="6">
        <v>1154</v>
      </c>
      <c r="T22" s="6">
        <v>1086</v>
      </c>
      <c r="U22" s="6">
        <v>0</v>
      </c>
      <c r="V22" s="6">
        <v>0</v>
      </c>
      <c r="W22" s="6">
        <v>866</v>
      </c>
      <c r="X22" s="6">
        <v>790</v>
      </c>
      <c r="Y22" s="6">
        <v>2549</v>
      </c>
      <c r="Z22" s="6">
        <v>2037</v>
      </c>
      <c r="AA22" s="6">
        <v>84864</v>
      </c>
      <c r="AB22" s="6">
        <v>182089</v>
      </c>
      <c r="AC22" s="6">
        <v>1057</v>
      </c>
      <c r="AD22" s="6">
        <v>1124</v>
      </c>
      <c r="AE22" s="6">
        <v>1086</v>
      </c>
      <c r="AF22" s="6">
        <v>1154</v>
      </c>
    </row>
    <row r="23" spans="2:32">
      <c r="B23" t="s">
        <v>58</v>
      </c>
      <c r="C23" s="3" t="s">
        <v>59</v>
      </c>
      <c r="D23" s="3" t="s">
        <v>60</v>
      </c>
      <c r="E23" t="s">
        <v>44</v>
      </c>
      <c r="F23" t="s">
        <v>45</v>
      </c>
      <c r="G23" s="3" t="s">
        <v>6</v>
      </c>
      <c r="H23" s="4">
        <v>46272.507159571796</v>
      </c>
      <c r="I23" s="3">
        <v>85.67</v>
      </c>
      <c r="J23" s="3" t="s">
        <v>47</v>
      </c>
      <c r="K23" s="5">
        <v>41.3</v>
      </c>
      <c r="L23" s="5">
        <v>268</v>
      </c>
      <c r="M23" s="5">
        <v>238.5</v>
      </c>
      <c r="N23" s="6">
        <v>0</v>
      </c>
      <c r="O23" s="6">
        <v>0</v>
      </c>
      <c r="P23" s="6">
        <v>3696</v>
      </c>
      <c r="Q23" s="6">
        <v>2777</v>
      </c>
      <c r="R23" s="7">
        <v>0.49</v>
      </c>
      <c r="S23" s="6">
        <v>1068</v>
      </c>
      <c r="T23" s="6">
        <v>1207</v>
      </c>
      <c r="U23" s="6">
        <v>0</v>
      </c>
      <c r="V23" s="6">
        <v>0</v>
      </c>
      <c r="W23" s="6">
        <v>859</v>
      </c>
      <c r="X23" s="6">
        <v>811</v>
      </c>
      <c r="Y23" s="6">
        <v>3133</v>
      </c>
      <c r="Z23" s="6">
        <v>2661</v>
      </c>
      <c r="AA23" s="6">
        <v>190053</v>
      </c>
      <c r="AB23" s="6">
        <v>174069</v>
      </c>
      <c r="AC23" s="6">
        <v>1205</v>
      </c>
      <c r="AD23" s="6">
        <v>1020</v>
      </c>
      <c r="AE23" s="6">
        <v>1207</v>
      </c>
      <c r="AF23" s="6">
        <v>1068</v>
      </c>
    </row>
    <row r="24" spans="2:32">
      <c r="B24" t="s">
        <v>58</v>
      </c>
      <c r="C24" s="3" t="s">
        <v>59</v>
      </c>
      <c r="D24" s="3" t="s">
        <v>60</v>
      </c>
      <c r="E24" t="s">
        <v>44</v>
      </c>
      <c r="F24" t="s">
        <v>45</v>
      </c>
      <c r="G24" s="3" t="s">
        <v>6</v>
      </c>
      <c r="H24" s="4">
        <v>46272.507159571796</v>
      </c>
      <c r="I24" s="3">
        <v>85.67</v>
      </c>
      <c r="J24" s="3" t="s">
        <v>48</v>
      </c>
      <c r="K24" s="5">
        <v>40.700000000000003</v>
      </c>
      <c r="L24" s="5">
        <v>273.39999999999998</v>
      </c>
      <c r="M24" s="5">
        <v>246.5</v>
      </c>
      <c r="N24" s="6">
        <v>0</v>
      </c>
      <c r="O24" s="6">
        <v>0</v>
      </c>
      <c r="P24" s="6">
        <v>2887</v>
      </c>
      <c r="Q24" s="6">
        <v>2508</v>
      </c>
      <c r="R24" s="7">
        <v>0.47</v>
      </c>
      <c r="S24" s="6">
        <v>959</v>
      </c>
      <c r="T24" s="6">
        <v>1125</v>
      </c>
      <c r="U24" s="6">
        <v>0</v>
      </c>
      <c r="V24" s="6">
        <v>0</v>
      </c>
      <c r="W24" s="6">
        <v>858</v>
      </c>
      <c r="X24" s="6">
        <v>813</v>
      </c>
      <c r="Y24" s="6">
        <v>2896</v>
      </c>
      <c r="Z24" s="6">
        <v>2166</v>
      </c>
      <c r="AA24" s="6">
        <v>98443</v>
      </c>
      <c r="AB24" s="6">
        <v>241353</v>
      </c>
      <c r="AC24" s="6">
        <v>1125</v>
      </c>
      <c r="AD24" s="6">
        <v>955</v>
      </c>
      <c r="AE24" s="6">
        <v>1125</v>
      </c>
      <c r="AF24" s="6">
        <v>959</v>
      </c>
    </row>
    <row r="25" spans="2:32">
      <c r="B25" t="s">
        <v>61</v>
      </c>
      <c r="C25" s="3" t="s">
        <v>62</v>
      </c>
      <c r="D25" s="3" t="s">
        <v>63</v>
      </c>
      <c r="E25" t="s">
        <v>44</v>
      </c>
      <c r="F25" t="s">
        <v>45</v>
      </c>
      <c r="G25" s="3" t="s">
        <v>6</v>
      </c>
      <c r="H25" s="4">
        <v>46272.507107638899</v>
      </c>
      <c r="I25" s="3">
        <v>91.6</v>
      </c>
      <c r="J25" s="3" t="s">
        <v>46</v>
      </c>
      <c r="K25" s="5">
        <v>42.1</v>
      </c>
      <c r="L25" s="5">
        <v>265.10000000000002</v>
      </c>
      <c r="M25" s="5">
        <v>230.8</v>
      </c>
      <c r="N25" s="6">
        <v>1250</v>
      </c>
      <c r="O25" s="6">
        <v>1583</v>
      </c>
      <c r="P25" s="6">
        <v>4155</v>
      </c>
      <c r="Q25" s="6">
        <v>3311</v>
      </c>
      <c r="R25" s="7">
        <v>0.56000000000000005</v>
      </c>
      <c r="S25" s="6">
        <v>1065</v>
      </c>
      <c r="T25" s="6">
        <v>1324</v>
      </c>
      <c r="U25" s="6">
        <v>18</v>
      </c>
      <c r="V25" s="6">
        <v>12</v>
      </c>
      <c r="W25" s="6">
        <v>981</v>
      </c>
      <c r="X25" s="6">
        <v>952</v>
      </c>
      <c r="Y25" s="6">
        <v>2350</v>
      </c>
      <c r="Z25" s="6">
        <v>2958</v>
      </c>
      <c r="AA25" s="6">
        <v>87001</v>
      </c>
      <c r="AB25" s="6">
        <v>69115</v>
      </c>
      <c r="AC25" s="6">
        <v>1324</v>
      </c>
      <c r="AD25" s="6">
        <v>1065</v>
      </c>
      <c r="AE25" s="6">
        <v>1305</v>
      </c>
      <c r="AF25" s="6">
        <v>1046</v>
      </c>
    </row>
    <row r="26" spans="2:32">
      <c r="B26" t="s">
        <v>61</v>
      </c>
      <c r="C26" s="3" t="s">
        <v>62</v>
      </c>
      <c r="D26" s="3" t="s">
        <v>63</v>
      </c>
      <c r="E26" t="s">
        <v>44</v>
      </c>
      <c r="F26" t="s">
        <v>45</v>
      </c>
      <c r="G26" s="3" t="s">
        <v>6</v>
      </c>
      <c r="H26" s="4">
        <v>46272.507107638899</v>
      </c>
      <c r="I26" s="3">
        <v>91.6</v>
      </c>
      <c r="J26" s="3" t="s">
        <v>47</v>
      </c>
      <c r="K26" s="5">
        <v>43</v>
      </c>
      <c r="L26" s="5">
        <v>275</v>
      </c>
      <c r="M26" s="5">
        <v>236</v>
      </c>
      <c r="N26" s="6">
        <v>1000</v>
      </c>
      <c r="O26" s="6">
        <v>500</v>
      </c>
      <c r="P26" s="6">
        <v>4219</v>
      </c>
      <c r="Q26" s="6">
        <v>3441</v>
      </c>
      <c r="R26" s="7">
        <v>0.56000000000000005</v>
      </c>
      <c r="S26" s="6">
        <v>1092</v>
      </c>
      <c r="T26" s="6">
        <v>1356</v>
      </c>
      <c r="U26" s="6">
        <v>4</v>
      </c>
      <c r="V26" s="6">
        <v>4</v>
      </c>
      <c r="W26" s="6">
        <v>1009</v>
      </c>
      <c r="X26" s="6">
        <v>923</v>
      </c>
      <c r="Y26" s="6">
        <v>2584</v>
      </c>
      <c r="Z26" s="6">
        <v>2635</v>
      </c>
      <c r="AA26" s="6">
        <v>62739</v>
      </c>
      <c r="AB26" s="6">
        <v>67997</v>
      </c>
      <c r="AC26" s="6">
        <v>1356</v>
      </c>
      <c r="AD26" s="6">
        <v>1092</v>
      </c>
      <c r="AE26" s="6">
        <v>1352</v>
      </c>
      <c r="AF26" s="6">
        <v>1090</v>
      </c>
    </row>
    <row r="27" spans="2:32">
      <c r="B27" t="s">
        <v>61</v>
      </c>
      <c r="C27" s="3" t="s">
        <v>62</v>
      </c>
      <c r="D27" s="3" t="s">
        <v>63</v>
      </c>
      <c r="E27" t="s">
        <v>44</v>
      </c>
      <c r="F27" t="s">
        <v>45</v>
      </c>
      <c r="G27" s="3" t="s">
        <v>6</v>
      </c>
      <c r="H27" s="4">
        <v>46272.507107638899</v>
      </c>
      <c r="I27" s="3">
        <v>91.6</v>
      </c>
      <c r="J27" s="3" t="s">
        <v>48</v>
      </c>
      <c r="K27" s="5">
        <v>43.3</v>
      </c>
      <c r="L27" s="5">
        <v>268.3</v>
      </c>
      <c r="M27" s="5">
        <v>250.5</v>
      </c>
      <c r="N27" s="6">
        <v>0</v>
      </c>
      <c r="O27" s="6">
        <v>3500</v>
      </c>
      <c r="P27" s="6">
        <v>3833</v>
      </c>
      <c r="Q27" s="6">
        <v>3085</v>
      </c>
      <c r="R27" s="7">
        <v>0.55000000000000004</v>
      </c>
      <c r="S27" s="6">
        <v>1061</v>
      </c>
      <c r="T27" s="6">
        <v>1249</v>
      </c>
      <c r="U27" s="6">
        <v>0</v>
      </c>
      <c r="V27" s="6">
        <v>26</v>
      </c>
      <c r="W27" s="6">
        <v>972</v>
      </c>
      <c r="X27" s="6">
        <v>923</v>
      </c>
      <c r="Y27" s="6">
        <v>2277</v>
      </c>
      <c r="Z27" s="6">
        <v>2931</v>
      </c>
      <c r="AA27" s="6">
        <v>104679</v>
      </c>
      <c r="AB27" s="6">
        <v>75897</v>
      </c>
      <c r="AC27" s="6">
        <v>1246</v>
      </c>
      <c r="AD27" s="6">
        <v>1061</v>
      </c>
      <c r="AE27" s="6">
        <v>1249</v>
      </c>
      <c r="AF27" s="6">
        <v>1047</v>
      </c>
    </row>
    <row r="28" spans="2:32">
      <c r="B28" t="s">
        <v>64</v>
      </c>
      <c r="C28" s="3" t="s">
        <v>65</v>
      </c>
      <c r="D28" s="3" t="s">
        <v>66</v>
      </c>
      <c r="E28" t="s">
        <v>44</v>
      </c>
      <c r="F28" t="s">
        <v>45</v>
      </c>
      <c r="G28" s="3" t="s">
        <v>6</v>
      </c>
      <c r="H28" s="4">
        <v>46272.504439432902</v>
      </c>
      <c r="I28" s="3">
        <v>99.25</v>
      </c>
      <c r="J28" s="3" t="s">
        <v>46</v>
      </c>
      <c r="K28" s="5">
        <v>38.9</v>
      </c>
      <c r="L28" s="5">
        <v>270.5</v>
      </c>
      <c r="M28" s="5">
        <v>287.2</v>
      </c>
      <c r="N28" s="6">
        <v>0</v>
      </c>
      <c r="O28" s="6">
        <v>0</v>
      </c>
      <c r="P28" s="6">
        <v>4203</v>
      </c>
      <c r="Q28" s="6">
        <v>3965</v>
      </c>
      <c r="R28" s="7">
        <v>0.47</v>
      </c>
      <c r="S28" s="6">
        <v>1217</v>
      </c>
      <c r="T28" s="6">
        <v>1178</v>
      </c>
      <c r="U28" s="6">
        <v>0</v>
      </c>
      <c r="V28" s="6">
        <v>0</v>
      </c>
      <c r="W28" s="6">
        <v>1026</v>
      </c>
      <c r="X28" s="6">
        <v>1052</v>
      </c>
      <c r="Y28" s="6">
        <v>1229</v>
      </c>
      <c r="Z28" s="6">
        <v>2430</v>
      </c>
      <c r="AA28" s="6">
        <v>30372</v>
      </c>
      <c r="AB28" s="6">
        <v>12543</v>
      </c>
      <c r="AC28" s="6">
        <v>1158</v>
      </c>
      <c r="AD28" s="6">
        <v>1212</v>
      </c>
      <c r="AE28" s="6">
        <v>1178</v>
      </c>
      <c r="AF28" s="6">
        <v>1217</v>
      </c>
    </row>
    <row r="29" spans="2:32">
      <c r="B29" t="s">
        <v>64</v>
      </c>
      <c r="C29" s="3" t="s">
        <v>65</v>
      </c>
      <c r="D29" s="3" t="s">
        <v>66</v>
      </c>
      <c r="E29" t="s">
        <v>44</v>
      </c>
      <c r="F29" t="s">
        <v>45</v>
      </c>
      <c r="G29" s="3" t="s">
        <v>6</v>
      </c>
      <c r="H29" s="4">
        <v>46272.504439432902</v>
      </c>
      <c r="I29" s="3">
        <v>99.25</v>
      </c>
      <c r="J29" s="3" t="s">
        <v>47</v>
      </c>
      <c r="K29" s="5">
        <v>39.799999999999997</v>
      </c>
      <c r="L29" s="5">
        <v>304.8</v>
      </c>
      <c r="M29" s="5">
        <v>273.10000000000002</v>
      </c>
      <c r="N29" s="6">
        <v>0</v>
      </c>
      <c r="O29" s="6">
        <v>0</v>
      </c>
      <c r="P29" s="6">
        <v>5148</v>
      </c>
      <c r="Q29" s="6">
        <v>4567</v>
      </c>
      <c r="R29" s="7">
        <v>0.5</v>
      </c>
      <c r="S29" s="6">
        <v>1261</v>
      </c>
      <c r="T29" s="6">
        <v>1315</v>
      </c>
      <c r="U29" s="6">
        <v>0</v>
      </c>
      <c r="V29" s="6">
        <v>0</v>
      </c>
      <c r="W29" s="6">
        <v>1052</v>
      </c>
      <c r="X29" s="6">
        <v>992</v>
      </c>
      <c r="Y29" s="6">
        <v>1672</v>
      </c>
      <c r="Z29" s="6">
        <v>856</v>
      </c>
      <c r="AA29" s="6">
        <v>10436</v>
      </c>
      <c r="AB29" s="6">
        <v>23889</v>
      </c>
      <c r="AC29" s="6">
        <v>1307</v>
      </c>
      <c r="AD29" s="6">
        <v>1249</v>
      </c>
      <c r="AE29" s="6">
        <v>1315</v>
      </c>
      <c r="AF29" s="6">
        <v>1261</v>
      </c>
    </row>
    <row r="30" spans="2:32">
      <c r="B30" t="s">
        <v>64</v>
      </c>
      <c r="C30" s="3" t="s">
        <v>65</v>
      </c>
      <c r="D30" s="3" t="s">
        <v>66</v>
      </c>
      <c r="E30" t="s">
        <v>44</v>
      </c>
      <c r="F30" t="s">
        <v>45</v>
      </c>
      <c r="G30" s="3" t="s">
        <v>6</v>
      </c>
      <c r="H30" s="4">
        <v>46272.504439432902</v>
      </c>
      <c r="I30" s="3">
        <v>99.25</v>
      </c>
      <c r="J30" s="3" t="s">
        <v>48</v>
      </c>
      <c r="K30" s="5">
        <v>40.1</v>
      </c>
      <c r="L30" s="5">
        <v>281.89999999999998</v>
      </c>
      <c r="M30" s="5">
        <v>305.5</v>
      </c>
      <c r="N30" s="6">
        <v>0</v>
      </c>
      <c r="O30" s="6">
        <v>0</v>
      </c>
      <c r="P30" s="6">
        <v>4446</v>
      </c>
      <c r="Q30" s="6">
        <v>4591</v>
      </c>
      <c r="R30" s="7">
        <v>0.52</v>
      </c>
      <c r="S30" s="6">
        <v>1252</v>
      </c>
      <c r="T30" s="6">
        <v>1280</v>
      </c>
      <c r="U30" s="6">
        <v>0</v>
      </c>
      <c r="V30" s="6">
        <v>2</v>
      </c>
      <c r="W30" s="6">
        <v>1000</v>
      </c>
      <c r="X30" s="6">
        <v>1048</v>
      </c>
      <c r="Y30" s="6">
        <v>1315</v>
      </c>
      <c r="Z30" s="6">
        <v>1970</v>
      </c>
      <c r="AA30" s="6">
        <v>21886</v>
      </c>
      <c r="AB30" s="6">
        <v>14296</v>
      </c>
      <c r="AC30" s="6">
        <v>1263</v>
      </c>
      <c r="AD30" s="6">
        <v>1242</v>
      </c>
      <c r="AE30" s="6">
        <v>1280</v>
      </c>
      <c r="AF30" s="6">
        <v>1252</v>
      </c>
    </row>
    <row r="31" spans="2:32">
      <c r="B31" t="s">
        <v>67</v>
      </c>
      <c r="C31" s="3" t="s">
        <v>68</v>
      </c>
      <c r="D31" s="3" t="s">
        <v>69</v>
      </c>
      <c r="E31" t="s">
        <v>44</v>
      </c>
      <c r="F31" t="s">
        <v>45</v>
      </c>
      <c r="G31" s="3" t="s">
        <v>6</v>
      </c>
      <c r="H31" s="4">
        <v>46272.518091238402</v>
      </c>
      <c r="I31" s="3">
        <v>82.7</v>
      </c>
      <c r="J31" s="3" t="s">
        <v>46</v>
      </c>
      <c r="K31" s="5">
        <v>46.1</v>
      </c>
      <c r="L31" s="5">
        <v>224.5</v>
      </c>
      <c r="M31" s="5">
        <v>234.9</v>
      </c>
      <c r="N31" s="6">
        <v>1500</v>
      </c>
      <c r="O31" s="6">
        <v>-750</v>
      </c>
      <c r="P31" s="6">
        <v>2978</v>
      </c>
      <c r="Q31" s="6">
        <v>2724</v>
      </c>
      <c r="R31" s="7">
        <v>0.61</v>
      </c>
      <c r="S31" s="6">
        <v>1046</v>
      </c>
      <c r="T31" s="6">
        <v>980</v>
      </c>
      <c r="U31" s="6">
        <v>100</v>
      </c>
      <c r="V31" s="6">
        <v>0</v>
      </c>
      <c r="W31" s="6">
        <v>912</v>
      </c>
      <c r="X31" s="6">
        <v>958</v>
      </c>
      <c r="Y31" s="6">
        <v>4192</v>
      </c>
      <c r="Z31" s="6">
        <v>4222</v>
      </c>
      <c r="AA31" s="6">
        <v>91783</v>
      </c>
      <c r="AB31" s="6">
        <v>95271</v>
      </c>
      <c r="AC31" s="6">
        <v>980</v>
      </c>
      <c r="AD31" s="6">
        <v>1044</v>
      </c>
      <c r="AE31" s="6">
        <v>971</v>
      </c>
      <c r="AF31" s="6">
        <v>1046</v>
      </c>
    </row>
    <row r="32" spans="2:32">
      <c r="B32" t="s">
        <v>67</v>
      </c>
      <c r="C32" s="3" t="s">
        <v>68</v>
      </c>
      <c r="D32" s="3" t="s">
        <v>69</v>
      </c>
      <c r="E32" t="s">
        <v>44</v>
      </c>
      <c r="F32" t="s">
        <v>45</v>
      </c>
      <c r="G32" s="3" t="s">
        <v>6</v>
      </c>
      <c r="H32" s="4">
        <v>46272.518091238402</v>
      </c>
      <c r="I32" s="3">
        <v>82.7</v>
      </c>
      <c r="J32" s="3" t="s">
        <v>47</v>
      </c>
      <c r="K32" s="5">
        <v>45.7</v>
      </c>
      <c r="L32" s="5">
        <v>216.9</v>
      </c>
      <c r="M32" s="5">
        <v>231.5</v>
      </c>
      <c r="N32" s="6">
        <v>1457</v>
      </c>
      <c r="O32" s="6">
        <v>304</v>
      </c>
      <c r="P32" s="6">
        <v>2824</v>
      </c>
      <c r="Q32" s="6">
        <v>2904</v>
      </c>
      <c r="R32" s="7">
        <v>0.66</v>
      </c>
      <c r="S32" s="6">
        <v>1096</v>
      </c>
      <c r="T32" s="6">
        <v>990</v>
      </c>
      <c r="U32" s="6">
        <v>122</v>
      </c>
      <c r="V32" s="6">
        <v>40</v>
      </c>
      <c r="W32" s="6">
        <v>936</v>
      </c>
      <c r="X32" s="6">
        <v>965</v>
      </c>
      <c r="Y32" s="6">
        <v>4509</v>
      </c>
      <c r="Z32" s="6">
        <v>3930</v>
      </c>
      <c r="AA32" s="6">
        <v>81875</v>
      </c>
      <c r="AB32" s="6">
        <v>102475</v>
      </c>
      <c r="AC32" s="6">
        <v>990</v>
      </c>
      <c r="AD32" s="6">
        <v>1096</v>
      </c>
      <c r="AE32" s="6">
        <v>911</v>
      </c>
      <c r="AF32" s="6">
        <v>1075</v>
      </c>
    </row>
    <row r="33" spans="2:32">
      <c r="B33" t="s">
        <v>67</v>
      </c>
      <c r="C33" s="3" t="s">
        <v>68</v>
      </c>
      <c r="D33" s="3" t="s">
        <v>69</v>
      </c>
      <c r="E33" t="s">
        <v>44</v>
      </c>
      <c r="F33" t="s">
        <v>45</v>
      </c>
      <c r="G33" s="3" t="s">
        <v>6</v>
      </c>
      <c r="H33" s="4">
        <v>46272.518091238402</v>
      </c>
      <c r="I33" s="3">
        <v>82.7</v>
      </c>
      <c r="J33" s="3" t="s">
        <v>48</v>
      </c>
      <c r="K33" s="5">
        <v>46.4</v>
      </c>
      <c r="L33" s="5">
        <v>235.2</v>
      </c>
      <c r="M33" s="5">
        <v>238.6</v>
      </c>
      <c r="N33" s="6">
        <v>83</v>
      </c>
      <c r="O33" s="6">
        <v>182</v>
      </c>
      <c r="P33" s="6">
        <v>2575</v>
      </c>
      <c r="Q33" s="6">
        <v>2349</v>
      </c>
      <c r="R33" s="7">
        <v>0.61</v>
      </c>
      <c r="S33" s="6">
        <v>974</v>
      </c>
      <c r="T33" s="6">
        <v>961</v>
      </c>
      <c r="U33" s="6">
        <v>190</v>
      </c>
      <c r="V33" s="6">
        <v>182</v>
      </c>
      <c r="W33" s="6">
        <v>911</v>
      </c>
      <c r="X33" s="6">
        <v>934</v>
      </c>
      <c r="Y33" s="6">
        <v>4489</v>
      </c>
      <c r="Z33" s="6">
        <v>4208</v>
      </c>
      <c r="AA33" s="6">
        <v>87667</v>
      </c>
      <c r="AB33" s="6">
        <v>97585</v>
      </c>
      <c r="AC33" s="6">
        <v>961</v>
      </c>
      <c r="AD33" s="6">
        <v>974</v>
      </c>
      <c r="AE33" s="6">
        <v>944</v>
      </c>
      <c r="AF33" s="6">
        <v>938</v>
      </c>
    </row>
    <row r="34" spans="2:32">
      <c r="B34" t="s">
        <v>70</v>
      </c>
      <c r="C34" s="3" t="s">
        <v>71</v>
      </c>
      <c r="D34" s="3" t="s">
        <v>72</v>
      </c>
      <c r="E34" t="s">
        <v>44</v>
      </c>
      <c r="F34" t="s">
        <v>45</v>
      </c>
      <c r="G34" s="3" t="s">
        <v>6</v>
      </c>
      <c r="H34" s="4">
        <v>46272.514942858797</v>
      </c>
      <c r="I34" s="3">
        <v>75.22</v>
      </c>
      <c r="J34" s="3" t="s">
        <v>46</v>
      </c>
      <c r="K34" s="5">
        <v>47.2</v>
      </c>
      <c r="L34" s="5">
        <v>210.6</v>
      </c>
      <c r="M34" s="5">
        <v>218</v>
      </c>
      <c r="N34" s="6">
        <v>0</v>
      </c>
      <c r="O34" s="6">
        <v>0</v>
      </c>
      <c r="P34" s="6">
        <v>3661</v>
      </c>
      <c r="Q34" s="6">
        <v>3949</v>
      </c>
      <c r="R34" s="7">
        <v>0.65</v>
      </c>
      <c r="S34" s="6">
        <v>1081</v>
      </c>
      <c r="T34" s="6">
        <v>1002</v>
      </c>
      <c r="U34" s="6">
        <v>6</v>
      </c>
      <c r="V34" s="6">
        <v>0</v>
      </c>
      <c r="W34" s="6">
        <v>776</v>
      </c>
      <c r="X34" s="6">
        <v>779</v>
      </c>
      <c r="Y34" s="6">
        <v>1370</v>
      </c>
      <c r="Z34" s="6">
        <v>1495</v>
      </c>
      <c r="AA34" s="6">
        <v>16986</v>
      </c>
      <c r="AB34" s="6">
        <v>16710</v>
      </c>
      <c r="AC34" s="6">
        <v>1002</v>
      </c>
      <c r="AD34" s="6">
        <v>1069</v>
      </c>
      <c r="AE34" s="6">
        <v>1001</v>
      </c>
      <c r="AF34" s="6">
        <v>1081</v>
      </c>
    </row>
    <row r="35" spans="2:32">
      <c r="B35" t="s">
        <v>70</v>
      </c>
      <c r="C35" s="3" t="s">
        <v>71</v>
      </c>
      <c r="D35" s="3" t="s">
        <v>72</v>
      </c>
      <c r="E35" t="s">
        <v>44</v>
      </c>
      <c r="F35" t="s">
        <v>45</v>
      </c>
      <c r="G35" s="3" t="s">
        <v>6</v>
      </c>
      <c r="H35" s="4">
        <v>46272.514942858797</v>
      </c>
      <c r="I35" s="3">
        <v>75.22</v>
      </c>
      <c r="J35" s="3" t="s">
        <v>47</v>
      </c>
      <c r="K35" s="5">
        <v>45.4</v>
      </c>
      <c r="L35" s="5">
        <v>202.5</v>
      </c>
      <c r="M35" s="5">
        <v>216.3</v>
      </c>
      <c r="N35" s="6">
        <v>0</v>
      </c>
      <c r="O35" s="6">
        <v>0</v>
      </c>
      <c r="P35" s="6">
        <v>4215</v>
      </c>
      <c r="Q35" s="6">
        <v>5455</v>
      </c>
      <c r="R35" s="7">
        <v>0.62</v>
      </c>
      <c r="S35" s="6">
        <v>1140</v>
      </c>
      <c r="T35" s="6">
        <v>1027</v>
      </c>
      <c r="U35" s="6">
        <v>0</v>
      </c>
      <c r="V35" s="6">
        <v>0</v>
      </c>
      <c r="W35" s="6">
        <v>769</v>
      </c>
      <c r="X35" s="6">
        <v>799</v>
      </c>
      <c r="Y35" s="6">
        <v>1624</v>
      </c>
      <c r="Z35" s="6">
        <v>1790</v>
      </c>
      <c r="AA35" s="6">
        <v>21826</v>
      </c>
      <c r="AB35" s="6">
        <v>17655</v>
      </c>
      <c r="AC35" s="6">
        <v>1023</v>
      </c>
      <c r="AD35" s="6">
        <v>1117</v>
      </c>
      <c r="AE35" s="6">
        <v>1027</v>
      </c>
      <c r="AF35" s="6">
        <v>1140</v>
      </c>
    </row>
    <row r="36" spans="2:32">
      <c r="B36" t="s">
        <v>70</v>
      </c>
      <c r="C36" s="3" t="s">
        <v>71</v>
      </c>
      <c r="D36" s="3" t="s">
        <v>72</v>
      </c>
      <c r="E36" t="s">
        <v>44</v>
      </c>
      <c r="F36" t="s">
        <v>45</v>
      </c>
      <c r="G36" s="3" t="s">
        <v>6</v>
      </c>
      <c r="H36" s="4">
        <v>46272.514942858797</v>
      </c>
      <c r="I36" s="3">
        <v>75.22</v>
      </c>
      <c r="J36" s="3" t="s">
        <v>48</v>
      </c>
      <c r="K36" s="5">
        <v>46.7</v>
      </c>
      <c r="L36" s="5">
        <v>211.5</v>
      </c>
      <c r="M36" s="5">
        <v>221</v>
      </c>
      <c r="N36" s="6">
        <v>0</v>
      </c>
      <c r="O36" s="6">
        <v>0</v>
      </c>
      <c r="P36" s="6">
        <v>3673</v>
      </c>
      <c r="Q36" s="6">
        <v>3766</v>
      </c>
      <c r="R36" s="7">
        <v>0.63</v>
      </c>
      <c r="S36" s="6">
        <v>1111</v>
      </c>
      <c r="T36" s="6">
        <v>966</v>
      </c>
      <c r="U36" s="6">
        <v>0</v>
      </c>
      <c r="V36" s="6">
        <v>0</v>
      </c>
      <c r="W36" s="6">
        <v>794</v>
      </c>
      <c r="X36" s="6">
        <v>814</v>
      </c>
      <c r="Y36" s="6">
        <v>1533</v>
      </c>
      <c r="Z36" s="6">
        <v>1113</v>
      </c>
      <c r="AA36" s="6">
        <v>9935</v>
      </c>
      <c r="AB36" s="6">
        <v>15971</v>
      </c>
      <c r="AC36" s="6">
        <v>966</v>
      </c>
      <c r="AD36" s="6">
        <v>1088</v>
      </c>
      <c r="AE36" s="6">
        <v>966</v>
      </c>
      <c r="AF36" s="6">
        <v>1111</v>
      </c>
    </row>
    <row r="37" spans="2:32">
      <c r="B37" t="s">
        <v>73</v>
      </c>
      <c r="C37" s="3" t="s">
        <v>74</v>
      </c>
      <c r="D37" s="3" t="s">
        <v>75</v>
      </c>
      <c r="E37" t="s">
        <v>44</v>
      </c>
      <c r="F37" t="s">
        <v>45</v>
      </c>
      <c r="G37" s="3" t="s">
        <v>6</v>
      </c>
      <c r="H37" s="4">
        <v>46272.512831979198</v>
      </c>
      <c r="I37" s="3">
        <v>67.900000000000006</v>
      </c>
      <c r="J37" s="3" t="s">
        <v>46</v>
      </c>
      <c r="K37" s="5">
        <v>38.9</v>
      </c>
      <c r="L37" s="5">
        <v>182</v>
      </c>
      <c r="M37" s="5">
        <v>204</v>
      </c>
      <c r="N37" s="6">
        <v>0</v>
      </c>
      <c r="O37" s="6">
        <v>0</v>
      </c>
      <c r="P37" s="6">
        <v>3124</v>
      </c>
      <c r="Q37" s="6">
        <v>2997</v>
      </c>
      <c r="R37" s="7">
        <v>0.5</v>
      </c>
      <c r="S37" s="6">
        <v>1003</v>
      </c>
      <c r="T37" s="6">
        <v>905</v>
      </c>
      <c r="U37" s="6">
        <v>0</v>
      </c>
      <c r="V37" s="6">
        <v>0</v>
      </c>
      <c r="W37" s="6">
        <v>633</v>
      </c>
      <c r="X37" s="6">
        <v>692</v>
      </c>
      <c r="Y37" s="6">
        <v>1938</v>
      </c>
      <c r="Z37" s="6">
        <v>2326</v>
      </c>
      <c r="AA37" s="6">
        <v>166145</v>
      </c>
      <c r="AB37" s="6">
        <v>138422</v>
      </c>
      <c r="AC37" s="6">
        <v>901</v>
      </c>
      <c r="AD37" s="6">
        <v>995</v>
      </c>
      <c r="AE37" s="6">
        <v>905</v>
      </c>
      <c r="AF37" s="6">
        <v>1003</v>
      </c>
    </row>
    <row r="38" spans="2:32">
      <c r="B38" t="s">
        <v>73</v>
      </c>
      <c r="C38" s="3" t="s">
        <v>74</v>
      </c>
      <c r="D38" s="3" t="s">
        <v>75</v>
      </c>
      <c r="E38" t="s">
        <v>44</v>
      </c>
      <c r="F38" t="s">
        <v>45</v>
      </c>
      <c r="G38" s="3" t="s">
        <v>6</v>
      </c>
      <c r="H38" s="4">
        <v>46272.512831979198</v>
      </c>
      <c r="I38" s="3">
        <v>67.900000000000006</v>
      </c>
      <c r="J38" s="3" t="s">
        <v>47</v>
      </c>
      <c r="K38" s="5">
        <v>41.5</v>
      </c>
      <c r="L38" s="5">
        <v>187.2</v>
      </c>
      <c r="M38" s="5">
        <v>200.7</v>
      </c>
      <c r="N38" s="6">
        <v>0</v>
      </c>
      <c r="O38" s="6">
        <v>0</v>
      </c>
      <c r="P38" s="6">
        <v>3469</v>
      </c>
      <c r="Q38" s="6">
        <v>3777</v>
      </c>
      <c r="R38" s="7">
        <v>0.54</v>
      </c>
      <c r="S38" s="6">
        <v>1010</v>
      </c>
      <c r="T38" s="6">
        <v>916</v>
      </c>
      <c r="U38" s="6">
        <v>0</v>
      </c>
      <c r="V38" s="6">
        <v>0</v>
      </c>
      <c r="W38" s="6">
        <v>659</v>
      </c>
      <c r="X38" s="6">
        <v>692</v>
      </c>
      <c r="Y38" s="6">
        <v>1067</v>
      </c>
      <c r="Z38" s="6">
        <v>1480</v>
      </c>
      <c r="AA38" s="6">
        <v>56924</v>
      </c>
      <c r="AB38" s="6">
        <v>29636</v>
      </c>
      <c r="AC38" s="6">
        <v>914</v>
      </c>
      <c r="AD38" s="6">
        <v>990</v>
      </c>
      <c r="AE38" s="6">
        <v>916</v>
      </c>
      <c r="AF38" s="6">
        <v>1010</v>
      </c>
    </row>
    <row r="39" spans="2:32">
      <c r="B39" t="s">
        <v>73</v>
      </c>
      <c r="C39" s="3" t="s">
        <v>74</v>
      </c>
      <c r="D39" s="3" t="s">
        <v>75</v>
      </c>
      <c r="E39" t="s">
        <v>44</v>
      </c>
      <c r="F39" t="s">
        <v>45</v>
      </c>
      <c r="G39" s="3" t="s">
        <v>6</v>
      </c>
      <c r="H39" s="4">
        <v>46272.512831979198</v>
      </c>
      <c r="I39" s="3">
        <v>67.900000000000006</v>
      </c>
      <c r="J39" s="3" t="s">
        <v>48</v>
      </c>
      <c r="K39" s="5">
        <v>40.200000000000003</v>
      </c>
      <c r="L39" s="5">
        <v>184.7</v>
      </c>
      <c r="M39" s="5">
        <v>201.3</v>
      </c>
      <c r="N39" s="6">
        <v>0</v>
      </c>
      <c r="O39" s="6">
        <v>0</v>
      </c>
      <c r="P39" s="6">
        <v>3748</v>
      </c>
      <c r="Q39" s="6">
        <v>3399</v>
      </c>
      <c r="R39" s="7">
        <v>0.51</v>
      </c>
      <c r="S39" s="6">
        <v>1027</v>
      </c>
      <c r="T39" s="6">
        <v>942</v>
      </c>
      <c r="U39" s="6">
        <v>0</v>
      </c>
      <c r="V39" s="6">
        <v>0</v>
      </c>
      <c r="W39" s="6">
        <v>648</v>
      </c>
      <c r="X39" s="6">
        <v>695</v>
      </c>
      <c r="Y39" s="6">
        <v>1487</v>
      </c>
      <c r="Z39" s="6">
        <v>1624</v>
      </c>
      <c r="AA39" s="6">
        <v>54134</v>
      </c>
      <c r="AB39" s="6">
        <v>39129</v>
      </c>
      <c r="AC39" s="6">
        <v>932</v>
      </c>
      <c r="AD39" s="6">
        <v>1007</v>
      </c>
      <c r="AE39" s="6">
        <v>942</v>
      </c>
      <c r="AF39" s="6">
        <v>1027</v>
      </c>
    </row>
    <row r="40" spans="2:32">
      <c r="B40" t="s">
        <v>76</v>
      </c>
      <c r="C40" s="3" t="s">
        <v>77</v>
      </c>
      <c r="D40" s="3" t="s">
        <v>78</v>
      </c>
      <c r="E40" t="s">
        <v>44</v>
      </c>
      <c r="F40" t="s">
        <v>45</v>
      </c>
      <c r="G40" s="3" t="s">
        <v>6</v>
      </c>
      <c r="H40" s="4">
        <v>46272.5099204051</v>
      </c>
      <c r="I40" s="3">
        <v>78.900000000000006</v>
      </c>
      <c r="J40" s="3" t="s">
        <v>46</v>
      </c>
      <c r="K40" s="5">
        <v>35.299999999999997</v>
      </c>
      <c r="L40" s="5">
        <v>213.1</v>
      </c>
      <c r="M40" s="5">
        <v>227</v>
      </c>
      <c r="N40" s="6">
        <v>0</v>
      </c>
      <c r="O40" s="6">
        <v>500</v>
      </c>
      <c r="P40" s="6">
        <v>1722</v>
      </c>
      <c r="Q40" s="6">
        <v>2338</v>
      </c>
      <c r="R40" s="7">
        <v>0.42</v>
      </c>
      <c r="S40" s="6">
        <v>902</v>
      </c>
      <c r="T40" s="6">
        <v>831</v>
      </c>
      <c r="U40" s="6">
        <v>210</v>
      </c>
      <c r="V40" s="6">
        <v>2</v>
      </c>
      <c r="W40" s="6">
        <v>797</v>
      </c>
      <c r="X40" s="6">
        <v>821</v>
      </c>
      <c r="Y40" s="6">
        <v>1187</v>
      </c>
      <c r="Z40" s="6">
        <v>1124</v>
      </c>
      <c r="AA40" s="6">
        <v>13381</v>
      </c>
      <c r="AB40" s="6">
        <v>14836</v>
      </c>
      <c r="AC40" s="6">
        <v>831</v>
      </c>
      <c r="AD40" s="6">
        <v>902</v>
      </c>
      <c r="AE40" s="6">
        <v>821</v>
      </c>
      <c r="AF40" s="6">
        <v>902</v>
      </c>
    </row>
    <row r="41" spans="2:32">
      <c r="B41" t="s">
        <v>76</v>
      </c>
      <c r="C41" s="3" t="s">
        <v>77</v>
      </c>
      <c r="D41" s="3" t="s">
        <v>78</v>
      </c>
      <c r="E41" t="s">
        <v>44</v>
      </c>
      <c r="F41" t="s">
        <v>45</v>
      </c>
      <c r="G41" s="3" t="s">
        <v>6</v>
      </c>
      <c r="H41" s="4">
        <v>46272.5099204051</v>
      </c>
      <c r="I41" s="3">
        <v>78.900000000000006</v>
      </c>
      <c r="J41" s="3" t="s">
        <v>47</v>
      </c>
      <c r="K41" s="5">
        <v>37.1</v>
      </c>
      <c r="L41" s="5">
        <v>217.2</v>
      </c>
      <c r="M41" s="5">
        <v>232</v>
      </c>
      <c r="N41" s="6">
        <v>215</v>
      </c>
      <c r="O41" s="6">
        <v>206</v>
      </c>
      <c r="P41" s="6">
        <v>1671</v>
      </c>
      <c r="Q41" s="6">
        <v>2290</v>
      </c>
      <c r="R41" s="7">
        <v>0.45</v>
      </c>
      <c r="S41" s="6">
        <v>890</v>
      </c>
      <c r="T41" s="6">
        <v>848</v>
      </c>
      <c r="U41" s="6">
        <v>214</v>
      </c>
      <c r="V41" s="6">
        <v>214</v>
      </c>
      <c r="W41" s="6">
        <v>820</v>
      </c>
      <c r="X41" s="6">
        <v>839</v>
      </c>
      <c r="Y41" s="6">
        <v>1536</v>
      </c>
      <c r="Z41" s="6">
        <v>1015</v>
      </c>
      <c r="AA41" s="6">
        <v>13013</v>
      </c>
      <c r="AB41" s="6">
        <v>20755</v>
      </c>
      <c r="AC41" s="6">
        <v>848</v>
      </c>
      <c r="AD41" s="6">
        <v>890</v>
      </c>
      <c r="AE41" s="6">
        <v>804</v>
      </c>
      <c r="AF41" s="6">
        <v>846</v>
      </c>
    </row>
    <row r="42" spans="2:32">
      <c r="B42" t="s">
        <v>76</v>
      </c>
      <c r="C42" s="3" t="s">
        <v>77</v>
      </c>
      <c r="D42" s="3" t="s">
        <v>78</v>
      </c>
      <c r="E42" t="s">
        <v>44</v>
      </c>
      <c r="F42" t="s">
        <v>45</v>
      </c>
      <c r="G42" s="3" t="s">
        <v>6</v>
      </c>
      <c r="H42" s="4">
        <v>46272.5099204051</v>
      </c>
      <c r="I42" s="3">
        <v>78.900000000000006</v>
      </c>
      <c r="J42" s="3" t="s">
        <v>48</v>
      </c>
      <c r="K42" s="5">
        <v>36.700000000000003</v>
      </c>
      <c r="L42" s="5">
        <v>218.6</v>
      </c>
      <c r="M42" s="5">
        <v>231.9</v>
      </c>
      <c r="N42" s="6">
        <v>1625</v>
      </c>
      <c r="O42" s="6">
        <v>-125</v>
      </c>
      <c r="P42" s="6">
        <v>1867</v>
      </c>
      <c r="Q42" s="6">
        <v>2378</v>
      </c>
      <c r="R42" s="7">
        <v>0.44</v>
      </c>
      <c r="S42" s="6">
        <v>873</v>
      </c>
      <c r="T42" s="6">
        <v>851</v>
      </c>
      <c r="U42" s="6">
        <v>8</v>
      </c>
      <c r="V42" s="6">
        <v>2</v>
      </c>
      <c r="W42" s="6">
        <v>783</v>
      </c>
      <c r="X42" s="6">
        <v>811</v>
      </c>
      <c r="Y42" s="6">
        <v>1129</v>
      </c>
      <c r="Z42" s="6">
        <v>1588</v>
      </c>
      <c r="AA42" s="6">
        <v>21460</v>
      </c>
      <c r="AB42" s="6">
        <v>14854</v>
      </c>
      <c r="AC42" s="6">
        <v>851</v>
      </c>
      <c r="AD42" s="6">
        <v>870</v>
      </c>
      <c r="AE42" s="6">
        <v>838</v>
      </c>
      <c r="AF42" s="6">
        <v>873</v>
      </c>
    </row>
    <row r="43" spans="2:32">
      <c r="B43" t="s">
        <v>79</v>
      </c>
      <c r="C43" s="3" t="s">
        <v>80</v>
      </c>
      <c r="D43" s="3" t="s">
        <v>81</v>
      </c>
      <c r="E43" t="s">
        <v>44</v>
      </c>
      <c r="F43" t="s">
        <v>45</v>
      </c>
      <c r="G43" s="3" t="s">
        <v>6</v>
      </c>
      <c r="H43" s="4">
        <v>46272.504212696796</v>
      </c>
      <c r="I43" s="3">
        <v>95.03</v>
      </c>
      <c r="J43" s="3" t="s">
        <v>46</v>
      </c>
      <c r="K43" s="5">
        <v>38.799999999999997</v>
      </c>
      <c r="L43" s="5">
        <v>266.10000000000002</v>
      </c>
      <c r="M43" s="5">
        <v>271</v>
      </c>
      <c r="N43" s="6">
        <v>1500</v>
      </c>
      <c r="O43" s="6">
        <v>-500</v>
      </c>
      <c r="P43" s="6">
        <v>3608</v>
      </c>
      <c r="Q43" s="6">
        <v>3666</v>
      </c>
      <c r="R43" s="7">
        <v>0.48</v>
      </c>
      <c r="S43" s="6">
        <v>1140</v>
      </c>
      <c r="T43" s="6">
        <v>1135</v>
      </c>
      <c r="U43" s="6">
        <v>2</v>
      </c>
      <c r="V43" s="6">
        <v>4</v>
      </c>
      <c r="W43" s="6">
        <v>961</v>
      </c>
      <c r="X43" s="6">
        <v>954</v>
      </c>
      <c r="Y43" s="6">
        <v>1944</v>
      </c>
      <c r="Z43" s="6">
        <v>2997</v>
      </c>
      <c r="AA43" s="6">
        <v>65153</v>
      </c>
      <c r="AB43" s="6">
        <v>34713</v>
      </c>
      <c r="AC43" s="6">
        <v>1131</v>
      </c>
      <c r="AD43" s="6">
        <v>1139</v>
      </c>
      <c r="AE43" s="6">
        <v>1135</v>
      </c>
      <c r="AF43" s="6">
        <v>1140</v>
      </c>
    </row>
    <row r="44" spans="2:32">
      <c r="B44" t="s">
        <v>79</v>
      </c>
      <c r="C44" s="3" t="s">
        <v>80</v>
      </c>
      <c r="D44" s="3" t="s">
        <v>81</v>
      </c>
      <c r="E44" t="s">
        <v>44</v>
      </c>
      <c r="F44" t="s">
        <v>45</v>
      </c>
      <c r="G44" s="3" t="s">
        <v>6</v>
      </c>
      <c r="H44" s="4">
        <v>46272.504212696796</v>
      </c>
      <c r="I44" s="3">
        <v>95.03</v>
      </c>
      <c r="J44" s="3" t="s">
        <v>47</v>
      </c>
      <c r="K44" s="5">
        <v>39.4</v>
      </c>
      <c r="L44" s="5">
        <v>277.60000000000002</v>
      </c>
      <c r="M44" s="5">
        <v>280.60000000000002</v>
      </c>
      <c r="N44" s="6">
        <v>500</v>
      </c>
      <c r="O44" s="6">
        <v>0</v>
      </c>
      <c r="P44" s="6">
        <v>3497</v>
      </c>
      <c r="Q44" s="6">
        <v>3732</v>
      </c>
      <c r="R44" s="7">
        <v>0.49</v>
      </c>
      <c r="S44" s="6">
        <v>1158</v>
      </c>
      <c r="T44" s="6">
        <v>1120</v>
      </c>
      <c r="U44" s="6">
        <v>6</v>
      </c>
      <c r="V44" s="6">
        <v>0</v>
      </c>
      <c r="W44" s="6">
        <v>953</v>
      </c>
      <c r="X44" s="6">
        <v>938</v>
      </c>
      <c r="Y44" s="6">
        <v>4712</v>
      </c>
      <c r="Z44" s="6">
        <v>5091</v>
      </c>
      <c r="AA44" s="6">
        <v>106063</v>
      </c>
      <c r="AB44" s="6">
        <v>87257</v>
      </c>
      <c r="AC44" s="6">
        <v>1117</v>
      </c>
      <c r="AD44" s="6">
        <v>1158</v>
      </c>
      <c r="AE44" s="6">
        <v>1120</v>
      </c>
      <c r="AF44" s="6">
        <v>1158</v>
      </c>
    </row>
    <row r="45" spans="2:32">
      <c r="B45" t="s">
        <v>79</v>
      </c>
      <c r="C45" s="3" t="s">
        <v>80</v>
      </c>
      <c r="D45" s="3" t="s">
        <v>81</v>
      </c>
      <c r="E45" t="s">
        <v>44</v>
      </c>
      <c r="F45" t="s">
        <v>45</v>
      </c>
      <c r="G45" s="3" t="s">
        <v>6</v>
      </c>
      <c r="H45" s="4">
        <v>46272.504212696796</v>
      </c>
      <c r="I45" s="3">
        <v>95.03</v>
      </c>
      <c r="J45" s="3" t="s">
        <v>48</v>
      </c>
      <c r="K45" s="5">
        <v>38.9</v>
      </c>
      <c r="L45" s="5">
        <v>272.8</v>
      </c>
      <c r="M45" s="5">
        <v>275.7</v>
      </c>
      <c r="N45" s="6">
        <v>1625</v>
      </c>
      <c r="O45" s="6">
        <v>-250</v>
      </c>
      <c r="P45" s="6">
        <v>3355</v>
      </c>
      <c r="Q45" s="6">
        <v>3666</v>
      </c>
      <c r="R45" s="7">
        <v>0.49</v>
      </c>
      <c r="S45" s="6">
        <v>1174</v>
      </c>
      <c r="T45" s="6">
        <v>1070</v>
      </c>
      <c r="U45" s="6">
        <v>14</v>
      </c>
      <c r="V45" s="6">
        <v>0</v>
      </c>
      <c r="W45" s="6">
        <v>974</v>
      </c>
      <c r="X45" s="6">
        <v>929</v>
      </c>
      <c r="Y45" s="6">
        <v>2918</v>
      </c>
      <c r="Z45" s="6">
        <v>2664</v>
      </c>
      <c r="AA45" s="6">
        <v>51231</v>
      </c>
      <c r="AB45" s="6">
        <v>54035</v>
      </c>
      <c r="AC45" s="6">
        <v>1070</v>
      </c>
      <c r="AD45" s="6">
        <v>1174</v>
      </c>
      <c r="AE45" s="6">
        <v>1055</v>
      </c>
      <c r="AF45" s="6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SHIELD</cp:lastModifiedBy>
  <cp:revision/>
  <dcterms:created xsi:type="dcterms:W3CDTF">2026-09-18T17:11:03Z</dcterms:created>
  <dcterms:modified xsi:type="dcterms:W3CDTF">2026-09-18T17:41:26Z</dcterms:modified>
  <cp:category/>
  <cp:contentStatus/>
</cp:coreProperties>
</file>
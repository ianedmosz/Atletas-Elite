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116" documentId="11_E60897F41BE170836B02CE998F75CCDC64E183C8" xr6:coauthVersionLast="47" xr6:coauthVersionMax="47" xr10:uidLastSave="{46FF0111-6DE2-4257-8AB4-5C2A2D16B73A}"/>
  <bookViews>
    <workbookView xWindow="240" yWindow="105" windowWidth="14805" windowHeight="8010" firstSheet="1" xr2:uid="{00000000-000D-0000-FFFF-FFFF00000000}"/>
  </bookViews>
  <sheets>
    <sheet name="Sesion1" sheetId="1" r:id="rId1"/>
    <sheet name="Sesion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2" l="1" a="1"/>
  <c r="D7" i="2"/>
  <c r="D7" i="1" a="1"/>
  <c r="D7" i="1"/>
  <c r="M2" i="1" a="1"/>
  <c r="M2" i="1"/>
  <c r="L2" i="1" a="1"/>
  <c r="L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<sst xmlns="http://schemas.openxmlformats.org/spreadsheetml/2006/main" count="613" uniqueCount="90">
  <si>
    <t>ForceDecks Test Results Export</t>
  </si>
  <si>
    <t>Export Date</t>
  </si>
  <si>
    <t>Test Date</t>
  </si>
  <si>
    <t>Export Profile</t>
  </si>
  <si>
    <t>Evaluaciones Borregos CMJ</t>
  </si>
  <si>
    <t>Export Test Type</t>
  </si>
  <si>
    <t>Countermovement Jump</t>
  </si>
  <si>
    <t>Export Trials</t>
  </si>
  <si>
    <t>Results from all trials within a test, one row/column per trial</t>
  </si>
  <si>
    <t>Number of Athletes</t>
  </si>
  <si>
    <t>Forms ID</t>
  </si>
  <si>
    <t>C000 ID</t>
  </si>
  <si>
    <t>Athlete</t>
  </si>
  <si>
    <t>Date of Birth</t>
  </si>
  <si>
    <t>Género</t>
  </si>
  <si>
    <t>Disciplina</t>
  </si>
  <si>
    <t>Test Type</t>
  </si>
  <si>
    <t>Body Weight [kg]</t>
  </si>
  <si>
    <t>Trial</t>
  </si>
  <si>
    <t>Jump Height (Imp-Mom) [cm]</t>
  </si>
  <si>
    <t>Concentric Impulse (Left) [N s]</t>
  </si>
  <si>
    <t>Concentric Impulse (Right) [N s]</t>
  </si>
  <si>
    <t>Concentric RFD (Left) [N/s]</t>
  </si>
  <si>
    <t>Concentric RFD (Right) [N/s]</t>
  </si>
  <si>
    <t>Eccentric Braking RFD (Left) [N/s]</t>
  </si>
  <si>
    <t>Eccentric Braking RFD (Right) [N/s]</t>
  </si>
  <si>
    <t>RSI-modified (Imp-Mom) [m/s]</t>
  </si>
  <si>
    <t>Takeoff Peak Force (Right) [N]</t>
  </si>
  <si>
    <t>Takeoff Peak Force (Left) [N]</t>
  </si>
  <si>
    <t>Concentric Time to Peak Force (Left) [ms]</t>
  </si>
  <si>
    <t>Concentric Time to Peak Force (Right) [ms]</t>
  </si>
  <si>
    <t>Force at Peak Power (Left) [N]</t>
  </si>
  <si>
    <t>Force at Peak Power (Right) [N]</t>
  </si>
  <si>
    <t>Peak Landing Force (Left) [N]</t>
  </si>
  <si>
    <t>Peak Landing Force (Right) [N]</t>
  </si>
  <si>
    <t>Landing RFD (Right) [N/s]</t>
  </si>
  <si>
    <t>Landing RFD (Left) [N/s]</t>
  </si>
  <si>
    <t>Concentric Peak Force (Left) [N]</t>
  </si>
  <si>
    <t>Concentric Peak Force (Right) [N]</t>
  </si>
  <si>
    <t>Eccentric Peak Force (Left) [N]</t>
  </si>
  <si>
    <t>Eccentric Peak Force (Right) [N]</t>
  </si>
  <si>
    <t>C017</t>
  </si>
  <si>
    <t>Melanie Olace</t>
  </si>
  <si>
    <t>02/04/2005</t>
  </si>
  <si>
    <t>Mujer</t>
  </si>
  <si>
    <t>Basketball</t>
  </si>
  <si>
    <t>Trial 1</t>
  </si>
  <si>
    <t>Trial 2</t>
  </si>
  <si>
    <t>Trial 3</t>
  </si>
  <si>
    <t>C016</t>
  </si>
  <si>
    <t>Maria Ramirez</t>
  </si>
  <si>
    <t>23/04/2007</t>
  </si>
  <si>
    <t>C043</t>
  </si>
  <si>
    <t>Regina Espinosa</t>
  </si>
  <si>
    <t>17/07/2003</t>
  </si>
  <si>
    <t>C018</t>
  </si>
  <si>
    <t>Laura Plascencia</t>
  </si>
  <si>
    <t>09/05/2004</t>
  </si>
  <si>
    <t>C046</t>
  </si>
  <si>
    <t>Paola De Leon</t>
  </si>
  <si>
    <t>13/09/2005</t>
  </si>
  <si>
    <t>C052</t>
  </si>
  <si>
    <t>Patricia Serna</t>
  </si>
  <si>
    <t>12/11/2003</t>
  </si>
  <si>
    <t>C041</t>
  </si>
  <si>
    <t>Ximena Apodaca</t>
  </si>
  <si>
    <t>03/03/2004</t>
  </si>
  <si>
    <t>C056</t>
  </si>
  <si>
    <t>Karmina Reyes</t>
  </si>
  <si>
    <t>08/10/2008</t>
  </si>
  <si>
    <t>Fernanda  Silva</t>
  </si>
  <si>
    <t>11/01/2007</t>
  </si>
  <si>
    <t>C015</t>
  </si>
  <si>
    <t>Adis Blanco</t>
  </si>
  <si>
    <t>16/10/2015</t>
  </si>
  <si>
    <t>C054</t>
  </si>
  <si>
    <t>Alicia Ramos</t>
  </si>
  <si>
    <t>08/11/2006</t>
  </si>
  <si>
    <t>C045</t>
  </si>
  <si>
    <t>C019</t>
  </si>
  <si>
    <t>Ariana Mora</t>
  </si>
  <si>
    <t>09/02/2003</t>
  </si>
  <si>
    <t>C055</t>
  </si>
  <si>
    <t>Andrea Grimaldo</t>
  </si>
  <si>
    <t>28/03/2003</t>
  </si>
  <si>
    <t>C049</t>
  </si>
  <si>
    <t>Cristina  García (usar este perfil)</t>
  </si>
  <si>
    <t>26/02/2008</t>
  </si>
  <si>
    <t>C042</t>
  </si>
  <si>
    <t>Trial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</si>
</sst>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d/mm/yyyy\ hh:mm"/>
  </numFmts>
  <fonts count="3">
    <font>
      <sz val="11"/>
      <color theme="1"/>
      <name val="Calibri"/>
      <family val="2"/>
      <scheme val="minor"/>
    </font>
    <font>
      <b/>
      <i/>
      <sz val="11"/>
      <color theme="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22" fontId="0" fillId="0" borderId="0" xfId="0" applyNumberForma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165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1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2" fillId="0" borderId="1" xfId="0" applyFont="1" applyBorder="1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1"/>
  <sheetViews>
    <sheetView tabSelected="1" workbookViewId="0">
      <selection activeCell="B1" sqref="B1:B1048576"/>
    </sheetView>
  </sheetViews>
  <sheetFormatPr defaultRowHeight="15"/>
  <cols>
    <col min="2" max="2" width="9.140625" style="14"/>
    <col min="3" max="3" width="18" customWidth="1"/>
    <col min="4" max="4" width="16.28515625" customWidth="1"/>
    <col min="6" max="6" width="12.140625" customWidth="1"/>
    <col min="7" max="7" width="23.28515625" customWidth="1"/>
    <col min="8" max="8" width="17.5703125" customWidth="1"/>
    <col min="9" max="9" width="17" customWidth="1"/>
    <col min="10" max="10" width="11" customWidth="1"/>
    <col min="11" max="11" width="27.5703125" customWidth="1"/>
    <col min="12" max="13" width="28.85546875" customWidth="1"/>
    <col min="14" max="15" width="26.5703125" customWidth="1"/>
    <col min="16" max="16" width="30.85546875" customWidth="1"/>
    <col min="17" max="17" width="32.140625" customWidth="1"/>
    <col min="18" max="20" width="28.85546875" customWidth="1"/>
    <col min="21" max="21" width="36.28515625" customWidth="1"/>
    <col min="22" max="22" width="37.7109375" customWidth="1"/>
    <col min="23" max="23" width="27.140625" customWidth="1"/>
    <col min="24" max="24" width="28.85546875" customWidth="1"/>
    <col min="25" max="25" width="27.140625" customWidth="1"/>
    <col min="26" max="26" width="28.85546875" customWidth="1"/>
    <col min="27" max="27" width="24.5703125" customWidth="1"/>
    <col min="28" max="28" width="23.85546875" customWidth="1"/>
    <col min="29" max="32" width="28.85546875" customWidth="1"/>
  </cols>
  <sheetData>
    <row r="1" spans="1:32">
      <c r="C1" s="1" t="s">
        <v>0</v>
      </c>
      <c r="D1" s="1"/>
      <c r="E1" s="1"/>
      <c r="F1" s="1"/>
      <c r="G1" s="1"/>
      <c r="H1" s="1"/>
      <c r="I1" s="1"/>
      <c r="J1" s="1"/>
      <c r="K1" s="1"/>
    </row>
    <row r="2" spans="1:32">
      <c r="C2" s="1" t="s">
        <v>1</v>
      </c>
      <c r="D2" s="3">
        <v>46280.448838854601</v>
      </c>
      <c r="E2" s="3"/>
      <c r="F2" s="3"/>
      <c r="G2" s="3"/>
      <c r="H2" s="3"/>
      <c r="I2" s="3"/>
      <c r="J2" s="3"/>
      <c r="K2" s="3"/>
      <c r="L2" cm="1">
        <f t="array" ref="L2">COUNTA(_xlfn.UNIQUE(_xlfn._xlws.FILTER(C10:C293, F10:F293="Americano")))</f>
        <v>1</v>
      </c>
      <c r="M2" cm="1">
        <f t="array" ref="M2">COUNTA(_xlfn.UNIQUE(_xlfn._xlws.FILTER(C10:C293, (F10:F293="Soccer") * (E10:E293="Mujer"))))</f>
        <v>1</v>
      </c>
    </row>
    <row r="3" spans="1:32">
      <c r="C3" s="1" t="s">
        <v>2</v>
      </c>
      <c r="D3" s="3">
        <v>46251.585883993102</v>
      </c>
      <c r="E3" s="9"/>
      <c r="F3" s="9"/>
      <c r="G3" s="9"/>
      <c r="H3" s="9"/>
      <c r="I3" s="9"/>
      <c r="J3" s="9"/>
      <c r="K3" s="9"/>
    </row>
    <row r="4" spans="1:32">
      <c r="C4" s="1" t="s">
        <v>3</v>
      </c>
      <c r="D4" s="2" t="s">
        <v>4</v>
      </c>
      <c r="E4" s="2"/>
      <c r="F4" s="2"/>
      <c r="G4" s="2"/>
      <c r="H4" s="2"/>
      <c r="I4" s="2"/>
      <c r="J4" s="2"/>
      <c r="K4" s="2"/>
    </row>
    <row r="5" spans="1:32">
      <c r="C5" s="1" t="s">
        <v>5</v>
      </c>
      <c r="D5" s="2" t="s">
        <v>6</v>
      </c>
      <c r="E5" s="2"/>
      <c r="F5" s="2"/>
      <c r="G5" s="2"/>
      <c r="H5" s="2"/>
      <c r="I5" s="2"/>
      <c r="J5" s="2"/>
      <c r="K5" s="2"/>
    </row>
    <row r="6" spans="1:32">
      <c r="C6" s="1" t="s">
        <v>7</v>
      </c>
      <c r="D6" s="2" t="s">
        <v>8</v>
      </c>
      <c r="E6" s="2"/>
      <c r="F6" s="2"/>
      <c r="G6" s="2"/>
      <c r="H6" s="2"/>
      <c r="I6" s="2"/>
      <c r="J6" s="2"/>
      <c r="K6" s="2"/>
    </row>
    <row r="7" spans="1:32">
      <c r="C7" s="1" t="s">
        <v>9</v>
      </c>
      <c r="D7" s="13" cm="1">
        <f t="array" ref="D7">COUNTA(_xlfn._xlws.FILTER(_xlfn.UNIQUE(C10:C200),_xlfn.UNIQUE(C10:C200)&lt;&gt;0))</f>
        <v>14</v>
      </c>
      <c r="E7" s="2"/>
      <c r="F7" s="2"/>
      <c r="G7" s="2"/>
      <c r="H7" s="2"/>
      <c r="I7" s="2"/>
      <c r="J7" s="2"/>
      <c r="K7" s="2"/>
    </row>
    <row r="9" spans="1:32" s="10" customFormat="1">
      <c r="A9" s="4" t="s">
        <v>10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15</v>
      </c>
      <c r="G9" s="4" t="s">
        <v>16</v>
      </c>
      <c r="H9" s="4" t="s">
        <v>2</v>
      </c>
      <c r="I9" s="4" t="s">
        <v>17</v>
      </c>
      <c r="J9" s="4" t="s">
        <v>18</v>
      </c>
      <c r="K9" s="4" t="s">
        <v>19</v>
      </c>
      <c r="L9" s="4" t="s">
        <v>20</v>
      </c>
      <c r="M9" s="4" t="s">
        <v>21</v>
      </c>
      <c r="N9" s="4" t="s">
        <v>22</v>
      </c>
      <c r="O9" s="4" t="s">
        <v>23</v>
      </c>
      <c r="P9" s="4" t="s">
        <v>24</v>
      </c>
      <c r="Q9" s="4" t="s">
        <v>25</v>
      </c>
      <c r="R9" s="4" t="s">
        <v>26</v>
      </c>
      <c r="S9" s="4" t="s">
        <v>27</v>
      </c>
      <c r="T9" s="4" t="s">
        <v>28</v>
      </c>
      <c r="U9" s="4" t="s">
        <v>29</v>
      </c>
      <c r="V9" s="4" t="s">
        <v>30</v>
      </c>
      <c r="W9" s="4" t="s">
        <v>31</v>
      </c>
      <c r="X9" s="4" t="s">
        <v>32</v>
      </c>
      <c r="Y9" s="4" t="s">
        <v>33</v>
      </c>
      <c r="Z9" s="4" t="s">
        <v>34</v>
      </c>
      <c r="AA9" s="4" t="s">
        <v>35</v>
      </c>
      <c r="AB9" s="4" t="s">
        <v>36</v>
      </c>
      <c r="AC9" s="4" t="s">
        <v>37</v>
      </c>
      <c r="AD9" s="4" t="s">
        <v>38</v>
      </c>
      <c r="AE9" s="4" t="s">
        <v>39</v>
      </c>
      <c r="AF9" s="4" t="s">
        <v>40</v>
      </c>
    </row>
    <row r="10" spans="1:32">
      <c r="A10">
        <v>131</v>
      </c>
      <c r="B10" s="14" t="s">
        <v>41</v>
      </c>
      <c r="C10" s="2" t="s">
        <v>42</v>
      </c>
      <c r="D10" s="2" t="s">
        <v>43</v>
      </c>
      <c r="E10" s="2" t="s">
        <v>44</v>
      </c>
      <c r="F10" s="2" t="s">
        <v>45</v>
      </c>
      <c r="G10" s="2" t="s">
        <v>6</v>
      </c>
      <c r="H10" s="3">
        <v>46251.596713391198</v>
      </c>
      <c r="I10" s="2">
        <v>75.459999999999994</v>
      </c>
      <c r="J10" s="2" t="s">
        <v>46</v>
      </c>
      <c r="K10" s="6">
        <v>30</v>
      </c>
      <c r="L10" s="6">
        <v>166.3</v>
      </c>
      <c r="M10" s="6">
        <v>181.9</v>
      </c>
      <c r="N10" s="7">
        <v>783</v>
      </c>
      <c r="O10" s="7">
        <v>689</v>
      </c>
      <c r="P10" s="7">
        <v>2517</v>
      </c>
      <c r="Q10" s="7">
        <v>2679</v>
      </c>
      <c r="R10" s="8">
        <v>0.44</v>
      </c>
      <c r="S10" s="7">
        <v>961</v>
      </c>
      <c r="T10" s="7">
        <v>931</v>
      </c>
      <c r="U10" s="7">
        <v>114</v>
      </c>
      <c r="V10" s="7">
        <v>102</v>
      </c>
      <c r="W10" s="7">
        <v>823</v>
      </c>
      <c r="X10" s="7">
        <v>875</v>
      </c>
      <c r="Y10" s="7">
        <v>1076</v>
      </c>
      <c r="Z10" s="7">
        <v>1302</v>
      </c>
      <c r="AA10" s="7">
        <v>18601</v>
      </c>
      <c r="AB10" s="7">
        <v>12810</v>
      </c>
      <c r="AC10" s="7">
        <v>931</v>
      </c>
      <c r="AD10" s="7">
        <v>961</v>
      </c>
      <c r="AE10" s="7">
        <v>846</v>
      </c>
      <c r="AF10" s="7">
        <v>888</v>
      </c>
    </row>
    <row r="11" spans="1:32">
      <c r="A11">
        <v>131</v>
      </c>
      <c r="B11" s="14" t="s">
        <v>41</v>
      </c>
      <c r="C11" s="2" t="s">
        <v>42</v>
      </c>
      <c r="D11" s="2" t="s">
        <v>43</v>
      </c>
      <c r="E11" s="2" t="s">
        <v>44</v>
      </c>
      <c r="F11" s="2" t="s">
        <v>45</v>
      </c>
      <c r="G11" s="2" t="s">
        <v>6</v>
      </c>
      <c r="H11" s="3">
        <v>46251.596713391198</v>
      </c>
      <c r="I11" s="2">
        <v>75.459999999999994</v>
      </c>
      <c r="J11" s="2" t="s">
        <v>47</v>
      </c>
      <c r="K11" s="6">
        <v>31.6</v>
      </c>
      <c r="L11" s="6">
        <v>189.5</v>
      </c>
      <c r="M11" s="6">
        <v>180.4</v>
      </c>
      <c r="N11" s="7">
        <v>917</v>
      </c>
      <c r="O11" s="7">
        <v>-583</v>
      </c>
      <c r="P11" s="7">
        <v>3037</v>
      </c>
      <c r="Q11" s="7">
        <v>2989</v>
      </c>
      <c r="R11" s="8">
        <v>0.45</v>
      </c>
      <c r="S11" s="7">
        <v>936</v>
      </c>
      <c r="T11" s="7">
        <v>893</v>
      </c>
      <c r="U11" s="7">
        <v>46</v>
      </c>
      <c r="V11" s="7">
        <v>0</v>
      </c>
      <c r="W11" s="7">
        <v>821</v>
      </c>
      <c r="X11" s="7">
        <v>784</v>
      </c>
      <c r="Y11" s="7">
        <v>1761</v>
      </c>
      <c r="Z11" s="7">
        <v>1206</v>
      </c>
      <c r="AA11" s="7">
        <v>15463</v>
      </c>
      <c r="AB11" s="7">
        <v>26682</v>
      </c>
      <c r="AC11" s="7">
        <v>893</v>
      </c>
      <c r="AD11" s="7">
        <v>934</v>
      </c>
      <c r="AE11" s="7">
        <v>866</v>
      </c>
      <c r="AF11" s="7">
        <v>936</v>
      </c>
    </row>
    <row r="12" spans="1:32">
      <c r="A12">
        <v>131</v>
      </c>
      <c r="B12" s="14" t="s">
        <v>41</v>
      </c>
      <c r="C12" s="2" t="s">
        <v>42</v>
      </c>
      <c r="D12" s="2" t="s">
        <v>43</v>
      </c>
      <c r="E12" s="2" t="s">
        <v>44</v>
      </c>
      <c r="F12" s="2" t="s">
        <v>45</v>
      </c>
      <c r="G12" s="2" t="s">
        <v>6</v>
      </c>
      <c r="H12" s="3">
        <v>46251.596713391198</v>
      </c>
      <c r="I12" s="2">
        <v>75.459999999999994</v>
      </c>
      <c r="J12" s="2" t="s">
        <v>48</v>
      </c>
      <c r="K12" s="6">
        <v>30.4</v>
      </c>
      <c r="L12" s="6">
        <v>166.3</v>
      </c>
      <c r="M12" s="6">
        <v>194.2</v>
      </c>
      <c r="N12" s="7">
        <v>500</v>
      </c>
      <c r="O12" s="7">
        <v>83</v>
      </c>
      <c r="P12" s="7">
        <v>2342</v>
      </c>
      <c r="Q12" s="7">
        <v>2785</v>
      </c>
      <c r="R12" s="8">
        <v>0.44</v>
      </c>
      <c r="S12" s="7">
        <v>979</v>
      </c>
      <c r="T12" s="7">
        <v>838</v>
      </c>
      <c r="U12" s="7">
        <v>134</v>
      </c>
      <c r="V12" s="7">
        <v>2</v>
      </c>
      <c r="W12" s="7">
        <v>765</v>
      </c>
      <c r="X12" s="7">
        <v>840</v>
      </c>
      <c r="Y12" s="7">
        <v>930</v>
      </c>
      <c r="Z12" s="7">
        <v>1548</v>
      </c>
      <c r="AA12" s="7">
        <v>26691</v>
      </c>
      <c r="AB12" s="7">
        <v>12237</v>
      </c>
      <c r="AC12" s="7">
        <v>838</v>
      </c>
      <c r="AD12" s="7">
        <v>979</v>
      </c>
      <c r="AE12" s="7">
        <v>780</v>
      </c>
      <c r="AF12" s="7">
        <v>977</v>
      </c>
    </row>
    <row r="13" spans="1:32">
      <c r="A13">
        <v>120</v>
      </c>
      <c r="B13" s="14" t="s">
        <v>49</v>
      </c>
      <c r="C13" s="2" t="s">
        <v>50</v>
      </c>
      <c r="D13" s="2" t="s">
        <v>51</v>
      </c>
      <c r="E13" s="2" t="s">
        <v>44</v>
      </c>
      <c r="F13" s="2" t="s">
        <v>45</v>
      </c>
      <c r="G13" s="2" t="s">
        <v>6</v>
      </c>
      <c r="H13" s="3">
        <v>46251.595208831</v>
      </c>
      <c r="I13" s="2">
        <v>106.84</v>
      </c>
      <c r="J13" s="2" t="s">
        <v>46</v>
      </c>
      <c r="K13" s="6">
        <v>25.1</v>
      </c>
      <c r="L13" s="6">
        <v>295.60000000000002</v>
      </c>
      <c r="M13" s="6">
        <v>291</v>
      </c>
      <c r="N13" s="7">
        <v>0</v>
      </c>
      <c r="O13" s="7">
        <v>0</v>
      </c>
      <c r="P13" s="7">
        <v>3439</v>
      </c>
      <c r="Q13" s="7">
        <v>2973</v>
      </c>
      <c r="R13" s="8">
        <v>0.3</v>
      </c>
      <c r="S13" s="7">
        <v>1186</v>
      </c>
      <c r="T13" s="7">
        <v>1242</v>
      </c>
      <c r="U13" s="7">
        <v>0</v>
      </c>
      <c r="V13" s="7">
        <v>0</v>
      </c>
      <c r="W13" s="7">
        <v>949</v>
      </c>
      <c r="X13" s="7">
        <v>956</v>
      </c>
      <c r="Y13" s="7">
        <v>2108</v>
      </c>
      <c r="Z13" s="7">
        <v>3116</v>
      </c>
      <c r="AA13" s="7">
        <v>42103</v>
      </c>
      <c r="AB13" s="7">
        <v>24516</v>
      </c>
      <c r="AC13" s="7">
        <v>1228</v>
      </c>
      <c r="AD13" s="7">
        <v>1179</v>
      </c>
      <c r="AE13" s="7">
        <v>1242</v>
      </c>
      <c r="AF13" s="7">
        <v>1186</v>
      </c>
    </row>
    <row r="14" spans="1:32">
      <c r="A14">
        <v>120</v>
      </c>
      <c r="B14" s="14" t="s">
        <v>49</v>
      </c>
      <c r="C14" s="2" t="s">
        <v>50</v>
      </c>
      <c r="D14" s="2" t="s">
        <v>51</v>
      </c>
      <c r="E14" s="2" t="s">
        <v>44</v>
      </c>
      <c r="F14" s="2" t="s">
        <v>45</v>
      </c>
      <c r="G14" s="2" t="s">
        <v>6</v>
      </c>
      <c r="H14" s="3">
        <v>46251.595208831</v>
      </c>
      <c r="I14" s="2">
        <v>106.84</v>
      </c>
      <c r="J14" s="2" t="s">
        <v>47</v>
      </c>
      <c r="K14" s="6">
        <v>26</v>
      </c>
      <c r="L14" s="6">
        <v>306.39999999999998</v>
      </c>
      <c r="M14" s="6">
        <v>292.7</v>
      </c>
      <c r="N14" s="7">
        <v>0</v>
      </c>
      <c r="O14" s="7">
        <v>0</v>
      </c>
      <c r="P14" s="7">
        <v>3974</v>
      </c>
      <c r="Q14" s="7">
        <v>3890</v>
      </c>
      <c r="R14" s="8">
        <v>0.31</v>
      </c>
      <c r="S14" s="7">
        <v>1254</v>
      </c>
      <c r="T14" s="7">
        <v>1224</v>
      </c>
      <c r="U14" s="7">
        <v>0</v>
      </c>
      <c r="V14" s="7">
        <v>0</v>
      </c>
      <c r="W14" s="7">
        <v>961</v>
      </c>
      <c r="X14" s="7">
        <v>937</v>
      </c>
      <c r="Y14" s="7">
        <v>1453</v>
      </c>
      <c r="Z14" s="7">
        <v>1656</v>
      </c>
      <c r="AA14" s="7">
        <v>20695</v>
      </c>
      <c r="AB14" s="7">
        <v>17724</v>
      </c>
      <c r="AC14" s="7">
        <v>1215</v>
      </c>
      <c r="AD14" s="7">
        <v>1210</v>
      </c>
      <c r="AE14" s="7">
        <v>1224</v>
      </c>
      <c r="AF14" s="7">
        <v>1254</v>
      </c>
    </row>
    <row r="15" spans="1:32">
      <c r="A15">
        <v>120</v>
      </c>
      <c r="B15" s="14" t="s">
        <v>49</v>
      </c>
      <c r="C15" s="2" t="s">
        <v>50</v>
      </c>
      <c r="D15" s="2" t="s">
        <v>51</v>
      </c>
      <c r="E15" s="2" t="s">
        <v>44</v>
      </c>
      <c r="F15" s="2" t="s">
        <v>45</v>
      </c>
      <c r="G15" s="2" t="s">
        <v>6</v>
      </c>
      <c r="H15" s="3">
        <v>46251.595208831</v>
      </c>
      <c r="I15" s="2">
        <v>106.84</v>
      </c>
      <c r="J15" s="2" t="s">
        <v>48</v>
      </c>
      <c r="K15" s="6">
        <v>25.3</v>
      </c>
      <c r="L15" s="6">
        <v>299</v>
      </c>
      <c r="M15" s="6">
        <v>293.89999999999998</v>
      </c>
      <c r="N15" s="7">
        <v>0</v>
      </c>
      <c r="O15" s="7">
        <v>0</v>
      </c>
      <c r="P15" s="7">
        <v>3410</v>
      </c>
      <c r="Q15" s="7">
        <v>3528</v>
      </c>
      <c r="R15" s="8">
        <v>0.3</v>
      </c>
      <c r="S15" s="7">
        <v>1255</v>
      </c>
      <c r="T15" s="7">
        <v>1227</v>
      </c>
      <c r="U15" s="7">
        <v>0</v>
      </c>
      <c r="V15" s="7">
        <v>2</v>
      </c>
      <c r="W15" s="7">
        <v>958</v>
      </c>
      <c r="X15" s="7">
        <v>950</v>
      </c>
      <c r="Y15" s="7">
        <v>2329</v>
      </c>
      <c r="Z15" s="7">
        <v>2313</v>
      </c>
      <c r="AA15" s="7">
        <v>30429</v>
      </c>
      <c r="AB15" s="7">
        <v>30649</v>
      </c>
      <c r="AC15" s="7">
        <v>1219</v>
      </c>
      <c r="AD15" s="7">
        <v>1232</v>
      </c>
      <c r="AE15" s="7">
        <v>1227</v>
      </c>
      <c r="AF15" s="7">
        <v>1255</v>
      </c>
    </row>
    <row r="16" spans="1:32">
      <c r="A16">
        <v>117</v>
      </c>
      <c r="B16" s="14" t="s">
        <v>52</v>
      </c>
      <c r="C16" s="2" t="s">
        <v>53</v>
      </c>
      <c r="D16" s="2" t="s">
        <v>54</v>
      </c>
      <c r="E16" s="2" t="s">
        <v>44</v>
      </c>
      <c r="F16" s="2" t="s">
        <v>45</v>
      </c>
      <c r="G16" s="2" t="s">
        <v>6</v>
      </c>
      <c r="H16" s="3">
        <v>46251.594836805598</v>
      </c>
      <c r="I16" s="2">
        <v>85.75</v>
      </c>
      <c r="J16" s="2" t="s">
        <v>46</v>
      </c>
      <c r="K16" s="6">
        <v>22.8</v>
      </c>
      <c r="L16" s="6">
        <v>214.3</v>
      </c>
      <c r="M16" s="6">
        <v>195.1</v>
      </c>
      <c r="N16" s="7">
        <v>0</v>
      </c>
      <c r="O16" s="7">
        <v>0</v>
      </c>
      <c r="P16" s="7">
        <v>4076</v>
      </c>
      <c r="Q16" s="7">
        <v>3710</v>
      </c>
      <c r="R16" s="8">
        <v>0.33</v>
      </c>
      <c r="S16" s="7">
        <v>998</v>
      </c>
      <c r="T16" s="7">
        <v>1123</v>
      </c>
      <c r="U16" s="7">
        <v>0</v>
      </c>
      <c r="V16" s="7">
        <v>0</v>
      </c>
      <c r="W16" s="7">
        <v>822</v>
      </c>
      <c r="X16" s="7">
        <v>786</v>
      </c>
      <c r="Y16" s="7">
        <v>1482</v>
      </c>
      <c r="Z16" s="7">
        <v>1135</v>
      </c>
      <c r="AA16" s="7">
        <v>12899</v>
      </c>
      <c r="AB16" s="7">
        <v>21794</v>
      </c>
      <c r="AC16" s="7">
        <v>1078</v>
      </c>
      <c r="AD16" s="7">
        <v>970</v>
      </c>
      <c r="AE16" s="7">
        <v>1123</v>
      </c>
      <c r="AF16" s="7">
        <v>998</v>
      </c>
    </row>
    <row r="17" spans="1:32">
      <c r="A17">
        <v>117</v>
      </c>
      <c r="B17" s="14" t="s">
        <v>52</v>
      </c>
      <c r="C17" s="2" t="s">
        <v>53</v>
      </c>
      <c r="D17" s="2" t="s">
        <v>54</v>
      </c>
      <c r="E17" s="2" t="s">
        <v>44</v>
      </c>
      <c r="F17" s="2" t="s">
        <v>45</v>
      </c>
      <c r="G17" s="2" t="s">
        <v>6</v>
      </c>
      <c r="H17" s="3">
        <v>46251.594836805598</v>
      </c>
      <c r="I17" s="2">
        <v>85.75</v>
      </c>
      <c r="J17" s="2" t="s">
        <v>47</v>
      </c>
      <c r="K17" s="6">
        <v>23.2</v>
      </c>
      <c r="L17" s="6">
        <v>205.6</v>
      </c>
      <c r="M17" s="6">
        <v>203.7</v>
      </c>
      <c r="N17" s="7">
        <v>0</v>
      </c>
      <c r="O17" s="7">
        <v>0</v>
      </c>
      <c r="P17" s="7">
        <v>3656</v>
      </c>
      <c r="Q17" s="7">
        <v>3129</v>
      </c>
      <c r="R17" s="8">
        <v>0.34</v>
      </c>
      <c r="S17" s="7">
        <v>1049</v>
      </c>
      <c r="T17" s="7">
        <v>1034</v>
      </c>
      <c r="U17" s="7">
        <v>0</v>
      </c>
      <c r="V17" s="7">
        <v>0</v>
      </c>
      <c r="W17" s="7">
        <v>814</v>
      </c>
      <c r="X17" s="7">
        <v>823</v>
      </c>
      <c r="Y17" s="7">
        <v>1228</v>
      </c>
      <c r="Z17" s="7">
        <v>1237</v>
      </c>
      <c r="AA17" s="7">
        <v>22091</v>
      </c>
      <c r="AB17" s="7">
        <v>17056</v>
      </c>
      <c r="AC17" s="7">
        <v>1019</v>
      </c>
      <c r="AD17" s="7">
        <v>1019</v>
      </c>
      <c r="AE17" s="7">
        <v>1034</v>
      </c>
      <c r="AF17" s="7">
        <v>1049</v>
      </c>
    </row>
    <row r="18" spans="1:32">
      <c r="A18">
        <v>117</v>
      </c>
      <c r="B18" s="14" t="s">
        <v>52</v>
      </c>
      <c r="C18" s="2" t="s">
        <v>53</v>
      </c>
      <c r="D18" s="2" t="s">
        <v>54</v>
      </c>
      <c r="E18" s="2" t="s">
        <v>44</v>
      </c>
      <c r="F18" s="2" t="s">
        <v>45</v>
      </c>
      <c r="G18" s="2" t="s">
        <v>6</v>
      </c>
      <c r="H18" s="3">
        <v>46251.594836805598</v>
      </c>
      <c r="I18" s="2">
        <v>85.75</v>
      </c>
      <c r="J18" s="2" t="s">
        <v>48</v>
      </c>
      <c r="K18" s="6">
        <v>23.6</v>
      </c>
      <c r="L18" s="6">
        <v>206.8</v>
      </c>
      <c r="M18" s="6">
        <v>196.5</v>
      </c>
      <c r="N18" s="7">
        <v>0</v>
      </c>
      <c r="O18" s="7">
        <v>0</v>
      </c>
      <c r="P18" s="7">
        <v>4084</v>
      </c>
      <c r="Q18" s="7">
        <v>3772</v>
      </c>
      <c r="R18" s="8">
        <v>0.36</v>
      </c>
      <c r="S18" s="7">
        <v>1046</v>
      </c>
      <c r="T18" s="7">
        <v>1054</v>
      </c>
      <c r="U18" s="7">
        <v>0</v>
      </c>
      <c r="V18" s="7">
        <v>0</v>
      </c>
      <c r="W18" s="7">
        <v>825</v>
      </c>
      <c r="X18" s="7">
        <v>818</v>
      </c>
      <c r="Y18" s="7">
        <v>1301</v>
      </c>
      <c r="Z18" s="7">
        <v>1036</v>
      </c>
      <c r="AA18" s="7">
        <v>17268</v>
      </c>
      <c r="AB18" s="7">
        <v>20984</v>
      </c>
      <c r="AC18" s="7">
        <v>1049</v>
      </c>
      <c r="AD18" s="7">
        <v>1005</v>
      </c>
      <c r="AE18" s="7">
        <v>1054</v>
      </c>
      <c r="AF18" s="7">
        <v>1046</v>
      </c>
    </row>
    <row r="19" spans="1:32">
      <c r="A19">
        <v>129</v>
      </c>
      <c r="B19" s="14" t="s">
        <v>55</v>
      </c>
      <c r="C19" s="2" t="s">
        <v>56</v>
      </c>
      <c r="D19" s="2" t="s">
        <v>57</v>
      </c>
      <c r="E19" s="2" t="s">
        <v>44</v>
      </c>
      <c r="F19" s="2" t="s">
        <v>45</v>
      </c>
      <c r="G19" s="2" t="s">
        <v>6</v>
      </c>
      <c r="H19" s="3">
        <v>46251.592268981498</v>
      </c>
      <c r="I19" s="2">
        <v>65.430000000000007</v>
      </c>
      <c r="J19" s="2" t="s">
        <v>46</v>
      </c>
      <c r="K19" s="6">
        <v>40.299999999999997</v>
      </c>
      <c r="L19" s="6">
        <v>179.5</v>
      </c>
      <c r="M19" s="6">
        <v>166.9</v>
      </c>
      <c r="N19" s="7">
        <v>0</v>
      </c>
      <c r="O19" s="7">
        <v>0</v>
      </c>
      <c r="P19" s="7">
        <v>3285</v>
      </c>
      <c r="Q19" s="7">
        <v>2658</v>
      </c>
      <c r="R19" s="8">
        <v>0.59</v>
      </c>
      <c r="S19" s="7">
        <v>771</v>
      </c>
      <c r="T19" s="7">
        <v>825</v>
      </c>
      <c r="U19" s="7">
        <v>0</v>
      </c>
      <c r="V19" s="7">
        <v>0</v>
      </c>
      <c r="W19" s="7">
        <v>747</v>
      </c>
      <c r="X19" s="7">
        <v>717</v>
      </c>
      <c r="Y19" s="7">
        <v>1929</v>
      </c>
      <c r="Z19" s="7">
        <v>1667</v>
      </c>
      <c r="AA19" s="7">
        <v>41682</v>
      </c>
      <c r="AB19" s="7">
        <v>41930</v>
      </c>
      <c r="AC19" s="7">
        <v>825</v>
      </c>
      <c r="AD19" s="7">
        <v>771</v>
      </c>
      <c r="AE19" s="7">
        <v>825</v>
      </c>
      <c r="AF19" s="7">
        <v>771</v>
      </c>
    </row>
    <row r="20" spans="1:32">
      <c r="A20">
        <v>129</v>
      </c>
      <c r="B20" s="14" t="s">
        <v>55</v>
      </c>
      <c r="C20" s="2" t="s">
        <v>56</v>
      </c>
      <c r="D20" s="2" t="s">
        <v>57</v>
      </c>
      <c r="E20" s="2" t="s">
        <v>44</v>
      </c>
      <c r="F20" s="2" t="s">
        <v>45</v>
      </c>
      <c r="G20" s="2" t="s">
        <v>6</v>
      </c>
      <c r="H20" s="3">
        <v>46251.592268981498</v>
      </c>
      <c r="I20" s="2">
        <v>65.430000000000007</v>
      </c>
      <c r="J20" s="2" t="s">
        <v>47</v>
      </c>
      <c r="K20" s="6">
        <v>41.2</v>
      </c>
      <c r="L20" s="6">
        <v>178</v>
      </c>
      <c r="M20" s="6">
        <v>178.9</v>
      </c>
      <c r="N20" s="7">
        <v>1000</v>
      </c>
      <c r="O20" s="7">
        <v>500</v>
      </c>
      <c r="P20" s="7">
        <v>3285</v>
      </c>
      <c r="Q20" s="7">
        <v>2389</v>
      </c>
      <c r="R20" s="8">
        <v>0.57999999999999996</v>
      </c>
      <c r="S20" s="7">
        <v>797</v>
      </c>
      <c r="T20" s="7">
        <v>813</v>
      </c>
      <c r="U20" s="7">
        <v>2</v>
      </c>
      <c r="V20" s="7">
        <v>2</v>
      </c>
      <c r="W20" s="7">
        <v>711</v>
      </c>
      <c r="X20" s="7">
        <v>718</v>
      </c>
      <c r="Y20" s="7">
        <v>1425</v>
      </c>
      <c r="Z20" s="7">
        <v>2041</v>
      </c>
      <c r="AA20" s="7">
        <v>53717</v>
      </c>
      <c r="AB20" s="7">
        <v>30973</v>
      </c>
      <c r="AC20" s="7">
        <v>806</v>
      </c>
      <c r="AD20" s="7">
        <v>796</v>
      </c>
      <c r="AE20" s="7">
        <v>813</v>
      </c>
      <c r="AF20" s="7">
        <v>797</v>
      </c>
    </row>
    <row r="21" spans="1:32">
      <c r="A21">
        <v>129</v>
      </c>
      <c r="B21" s="14" t="s">
        <v>55</v>
      </c>
      <c r="C21" s="2" t="s">
        <v>56</v>
      </c>
      <c r="D21" s="2" t="s">
        <v>57</v>
      </c>
      <c r="E21" s="2" t="s">
        <v>44</v>
      </c>
      <c r="F21" s="2" t="s">
        <v>45</v>
      </c>
      <c r="G21" s="2" t="s">
        <v>6</v>
      </c>
      <c r="H21" s="3">
        <v>46251.592268981498</v>
      </c>
      <c r="I21" s="2">
        <v>65.430000000000007</v>
      </c>
      <c r="J21" s="2" t="s">
        <v>48</v>
      </c>
      <c r="K21" s="6">
        <v>38.9</v>
      </c>
      <c r="L21" s="6">
        <v>178.3</v>
      </c>
      <c r="M21" s="6">
        <v>164</v>
      </c>
      <c r="N21" s="7">
        <v>0</v>
      </c>
      <c r="O21" s="7">
        <v>0</v>
      </c>
      <c r="P21" s="7">
        <v>2352</v>
      </c>
      <c r="Q21" s="7">
        <v>2432</v>
      </c>
      <c r="R21" s="8">
        <v>0.55000000000000004</v>
      </c>
      <c r="S21" s="7">
        <v>780</v>
      </c>
      <c r="T21" s="7">
        <v>794</v>
      </c>
      <c r="U21" s="7">
        <v>172</v>
      </c>
      <c r="V21" s="7">
        <v>0</v>
      </c>
      <c r="W21" s="7">
        <v>774</v>
      </c>
      <c r="X21" s="7">
        <v>717</v>
      </c>
      <c r="Y21" s="7">
        <v>1231</v>
      </c>
      <c r="Z21" s="7">
        <v>1269</v>
      </c>
      <c r="AA21" s="7">
        <v>22665</v>
      </c>
      <c r="AB21" s="7">
        <v>19851</v>
      </c>
      <c r="AC21" s="7">
        <v>794</v>
      </c>
      <c r="AD21" s="7">
        <v>780</v>
      </c>
      <c r="AE21" s="7">
        <v>769</v>
      </c>
      <c r="AF21" s="7">
        <v>780</v>
      </c>
    </row>
    <row r="22" spans="1:32">
      <c r="A22">
        <v>132</v>
      </c>
      <c r="B22" s="14" t="s">
        <v>58</v>
      </c>
      <c r="C22" s="2" t="s">
        <v>59</v>
      </c>
      <c r="D22" s="2" t="s">
        <v>60</v>
      </c>
      <c r="E22" s="2" t="s">
        <v>44</v>
      </c>
      <c r="F22" s="2" t="s">
        <v>45</v>
      </c>
      <c r="G22" s="2" t="s">
        <v>6</v>
      </c>
      <c r="H22" s="3">
        <v>46251.590305474499</v>
      </c>
      <c r="I22" s="2">
        <v>58.95</v>
      </c>
      <c r="J22" s="2" t="s">
        <v>46</v>
      </c>
      <c r="K22" s="6">
        <v>28.5</v>
      </c>
      <c r="L22" s="6">
        <v>159.6</v>
      </c>
      <c r="M22" s="6">
        <v>145.5</v>
      </c>
      <c r="N22" s="7">
        <v>0</v>
      </c>
      <c r="O22" s="7">
        <v>0</v>
      </c>
      <c r="P22" s="7">
        <v>2166</v>
      </c>
      <c r="Q22" s="7">
        <v>1841</v>
      </c>
      <c r="R22" s="8">
        <v>0.39</v>
      </c>
      <c r="S22" s="7">
        <v>628</v>
      </c>
      <c r="T22" s="7">
        <v>699</v>
      </c>
      <c r="U22" s="7">
        <v>0</v>
      </c>
      <c r="V22" s="7">
        <v>0</v>
      </c>
      <c r="W22" s="7">
        <v>606</v>
      </c>
      <c r="X22" s="7">
        <v>558</v>
      </c>
      <c r="Y22" s="7">
        <v>1025</v>
      </c>
      <c r="Z22" s="7">
        <v>1169</v>
      </c>
      <c r="AA22" s="7">
        <v>20160</v>
      </c>
      <c r="AB22" s="7">
        <v>18300</v>
      </c>
      <c r="AC22" s="7">
        <v>693</v>
      </c>
      <c r="AD22" s="7">
        <v>625</v>
      </c>
      <c r="AE22" s="7">
        <v>699</v>
      </c>
      <c r="AF22" s="7">
        <v>628</v>
      </c>
    </row>
    <row r="23" spans="1:32">
      <c r="A23">
        <v>132</v>
      </c>
      <c r="B23" s="14" t="s">
        <v>58</v>
      </c>
      <c r="C23" s="2" t="s">
        <v>59</v>
      </c>
      <c r="D23" s="2" t="s">
        <v>60</v>
      </c>
      <c r="E23" s="2" t="s">
        <v>44</v>
      </c>
      <c r="F23" s="2" t="s">
        <v>45</v>
      </c>
      <c r="G23" s="2" t="s">
        <v>6</v>
      </c>
      <c r="H23" s="3">
        <v>46251.590305474499</v>
      </c>
      <c r="I23" s="2">
        <v>58.95</v>
      </c>
      <c r="J23" s="2" t="s">
        <v>47</v>
      </c>
      <c r="K23" s="6">
        <v>28.6</v>
      </c>
      <c r="L23" s="6">
        <v>150.5</v>
      </c>
      <c r="M23" s="6">
        <v>137.6</v>
      </c>
      <c r="N23" s="7">
        <v>0</v>
      </c>
      <c r="O23" s="7">
        <v>0</v>
      </c>
      <c r="P23" s="7">
        <v>2240</v>
      </c>
      <c r="Q23" s="7">
        <v>2192</v>
      </c>
      <c r="R23" s="8">
        <v>0.41</v>
      </c>
      <c r="S23" s="7">
        <v>669</v>
      </c>
      <c r="T23" s="7">
        <v>717</v>
      </c>
      <c r="U23" s="7">
        <v>4</v>
      </c>
      <c r="V23" s="7">
        <v>0</v>
      </c>
      <c r="W23" s="7">
        <v>627</v>
      </c>
      <c r="X23" s="7">
        <v>578</v>
      </c>
      <c r="Y23" s="7">
        <v>1089</v>
      </c>
      <c r="Z23" s="7">
        <v>1095</v>
      </c>
      <c r="AA23" s="7">
        <v>20283</v>
      </c>
      <c r="AB23" s="7">
        <v>20938</v>
      </c>
      <c r="AC23" s="7">
        <v>717</v>
      </c>
      <c r="AD23" s="7">
        <v>664</v>
      </c>
      <c r="AE23" s="7">
        <v>716</v>
      </c>
      <c r="AF23" s="7">
        <v>669</v>
      </c>
    </row>
    <row r="24" spans="1:32">
      <c r="A24">
        <v>132</v>
      </c>
      <c r="B24" s="14" t="s">
        <v>58</v>
      </c>
      <c r="C24" s="2" t="s">
        <v>59</v>
      </c>
      <c r="D24" s="2" t="s">
        <v>60</v>
      </c>
      <c r="E24" s="2" t="s">
        <v>44</v>
      </c>
      <c r="F24" s="2" t="s">
        <v>45</v>
      </c>
      <c r="G24" s="2" t="s">
        <v>6</v>
      </c>
      <c r="H24" s="3">
        <v>46251.590305474499</v>
      </c>
      <c r="I24" s="2">
        <v>58.95</v>
      </c>
      <c r="J24" s="2" t="s">
        <v>48</v>
      </c>
      <c r="K24" s="6">
        <v>28.5</v>
      </c>
      <c r="L24" s="6">
        <v>147.1</v>
      </c>
      <c r="M24" s="6">
        <v>130.80000000000001</v>
      </c>
      <c r="N24" s="7">
        <v>0</v>
      </c>
      <c r="O24" s="7">
        <v>0</v>
      </c>
      <c r="P24" s="7">
        <v>2278</v>
      </c>
      <c r="Q24" s="7">
        <v>2358</v>
      </c>
      <c r="R24" s="8">
        <v>0.41</v>
      </c>
      <c r="S24" s="7">
        <v>682</v>
      </c>
      <c r="T24" s="7">
        <v>755</v>
      </c>
      <c r="U24" s="7">
        <v>0</v>
      </c>
      <c r="V24" s="7">
        <v>0</v>
      </c>
      <c r="W24" s="7">
        <v>621</v>
      </c>
      <c r="X24" s="7">
        <v>580</v>
      </c>
      <c r="Y24" s="7">
        <v>959</v>
      </c>
      <c r="Z24" s="7">
        <v>1125</v>
      </c>
      <c r="AA24" s="7">
        <v>19401</v>
      </c>
      <c r="AB24" s="7">
        <v>18438</v>
      </c>
      <c r="AC24" s="7">
        <v>751</v>
      </c>
      <c r="AD24" s="7">
        <v>667</v>
      </c>
      <c r="AE24" s="7">
        <v>755</v>
      </c>
      <c r="AF24" s="7">
        <v>682</v>
      </c>
    </row>
    <row r="25" spans="1:32">
      <c r="A25">
        <v>133</v>
      </c>
      <c r="B25" s="14" t="s">
        <v>61</v>
      </c>
      <c r="C25" s="2" t="s">
        <v>62</v>
      </c>
      <c r="D25" s="2" t="s">
        <v>63</v>
      </c>
      <c r="E25" s="2" t="s">
        <v>44</v>
      </c>
      <c r="F25" s="2" t="s">
        <v>45</v>
      </c>
      <c r="G25" s="2" t="s">
        <v>6</v>
      </c>
      <c r="H25" s="3">
        <v>46251.590066400502</v>
      </c>
      <c r="I25" s="2">
        <v>85.05</v>
      </c>
      <c r="J25" s="2" t="s">
        <v>46</v>
      </c>
      <c r="K25" s="6">
        <v>17.5</v>
      </c>
      <c r="L25" s="6">
        <v>232.6</v>
      </c>
      <c r="M25" s="6">
        <v>196.3</v>
      </c>
      <c r="N25" s="7">
        <v>0</v>
      </c>
      <c r="O25" s="7">
        <v>0</v>
      </c>
      <c r="P25" s="7">
        <v>2591</v>
      </c>
      <c r="Q25" s="7">
        <v>2168</v>
      </c>
      <c r="R25" s="8">
        <v>0.22</v>
      </c>
      <c r="S25" s="7">
        <v>744</v>
      </c>
      <c r="T25" s="7">
        <v>914</v>
      </c>
      <c r="U25" s="7">
        <v>0</v>
      </c>
      <c r="V25" s="7">
        <v>6</v>
      </c>
      <c r="W25" s="7">
        <v>791</v>
      </c>
      <c r="X25" s="7">
        <v>656</v>
      </c>
      <c r="Y25" s="7">
        <v>1512</v>
      </c>
      <c r="Z25" s="7">
        <v>1567</v>
      </c>
      <c r="AA25" s="7">
        <v>30136</v>
      </c>
      <c r="AB25" s="7">
        <v>29077</v>
      </c>
      <c r="AC25" s="7">
        <v>889</v>
      </c>
      <c r="AD25" s="7">
        <v>744</v>
      </c>
      <c r="AE25" s="7">
        <v>914</v>
      </c>
      <c r="AF25" s="7">
        <v>743</v>
      </c>
    </row>
    <row r="26" spans="1:32">
      <c r="A26">
        <v>133</v>
      </c>
      <c r="B26" s="14" t="s">
        <v>61</v>
      </c>
      <c r="C26" s="2" t="s">
        <v>62</v>
      </c>
      <c r="D26" s="2" t="s">
        <v>63</v>
      </c>
      <c r="E26" s="2" t="s">
        <v>44</v>
      </c>
      <c r="F26" s="2" t="s">
        <v>45</v>
      </c>
      <c r="G26" s="2" t="s">
        <v>6</v>
      </c>
      <c r="H26" s="3">
        <v>46251.590066400502</v>
      </c>
      <c r="I26" s="2">
        <v>85.05</v>
      </c>
      <c r="J26" s="2" t="s">
        <v>47</v>
      </c>
      <c r="K26" s="6">
        <v>19.3</v>
      </c>
      <c r="L26" s="6">
        <v>244.6</v>
      </c>
      <c r="M26" s="6">
        <v>196.5</v>
      </c>
      <c r="N26" s="7">
        <v>1000</v>
      </c>
      <c r="O26" s="7">
        <v>-800</v>
      </c>
      <c r="P26" s="7">
        <v>2536</v>
      </c>
      <c r="Q26" s="7">
        <v>1599</v>
      </c>
      <c r="R26" s="8">
        <v>0.24</v>
      </c>
      <c r="S26" s="7">
        <v>752</v>
      </c>
      <c r="T26" s="7">
        <v>948</v>
      </c>
      <c r="U26" s="7">
        <v>22</v>
      </c>
      <c r="V26" s="7">
        <v>0</v>
      </c>
      <c r="W26" s="7">
        <v>764</v>
      </c>
      <c r="X26" s="7">
        <v>633</v>
      </c>
      <c r="Y26" s="7">
        <v>1462</v>
      </c>
      <c r="Z26" s="7">
        <v>1151</v>
      </c>
      <c r="AA26" s="7">
        <v>23981</v>
      </c>
      <c r="AB26" s="7">
        <v>29240</v>
      </c>
      <c r="AC26" s="7">
        <v>948</v>
      </c>
      <c r="AD26" s="7">
        <v>750</v>
      </c>
      <c r="AE26" s="7">
        <v>933</v>
      </c>
      <c r="AF26" s="7">
        <v>752</v>
      </c>
    </row>
    <row r="27" spans="1:32">
      <c r="A27">
        <v>133</v>
      </c>
      <c r="B27" s="14" t="s">
        <v>61</v>
      </c>
      <c r="C27" s="2" t="s">
        <v>62</v>
      </c>
      <c r="D27" s="2" t="s">
        <v>63</v>
      </c>
      <c r="E27" s="2" t="s">
        <v>44</v>
      </c>
      <c r="F27" s="2" t="s">
        <v>45</v>
      </c>
      <c r="G27" s="2" t="s">
        <v>6</v>
      </c>
      <c r="H27" s="3">
        <v>46251.590066400502</v>
      </c>
      <c r="I27" s="2">
        <v>85.05</v>
      </c>
      <c r="J27" s="2" t="s">
        <v>48</v>
      </c>
      <c r="K27" s="6">
        <v>17.899999999999999</v>
      </c>
      <c r="L27" s="6">
        <v>237</v>
      </c>
      <c r="M27" s="6">
        <v>191.5</v>
      </c>
      <c r="N27" s="7">
        <v>2000</v>
      </c>
      <c r="O27" s="7">
        <v>-250</v>
      </c>
      <c r="P27" s="7">
        <v>2801</v>
      </c>
      <c r="Q27" s="7">
        <v>1931</v>
      </c>
      <c r="R27" s="8">
        <v>0.22</v>
      </c>
      <c r="S27" s="7">
        <v>786</v>
      </c>
      <c r="T27" s="7">
        <v>924</v>
      </c>
      <c r="U27" s="7">
        <v>4</v>
      </c>
      <c r="V27" s="7">
        <v>6</v>
      </c>
      <c r="W27" s="7">
        <v>773</v>
      </c>
      <c r="X27" s="7">
        <v>618</v>
      </c>
      <c r="Y27" s="7">
        <v>1697</v>
      </c>
      <c r="Z27" s="7">
        <v>1308</v>
      </c>
      <c r="AA27" s="7">
        <v>21098</v>
      </c>
      <c r="AB27" s="7">
        <v>24243</v>
      </c>
      <c r="AC27" s="7">
        <v>924</v>
      </c>
      <c r="AD27" s="7">
        <v>782</v>
      </c>
      <c r="AE27" s="7">
        <v>921</v>
      </c>
      <c r="AF27" s="7">
        <v>786</v>
      </c>
    </row>
    <row r="28" spans="1:32">
      <c r="A28">
        <v>113</v>
      </c>
      <c r="B28" s="14" t="s">
        <v>64</v>
      </c>
      <c r="C28" s="2" t="s">
        <v>65</v>
      </c>
      <c r="D28" s="2" t="s">
        <v>66</v>
      </c>
      <c r="E28" s="2" t="s">
        <v>44</v>
      </c>
      <c r="F28" s="2" t="s">
        <v>45</v>
      </c>
      <c r="G28" s="2" t="s">
        <v>6</v>
      </c>
      <c r="H28" s="3">
        <v>46251.588419907399</v>
      </c>
      <c r="I28" s="2">
        <v>64.8</v>
      </c>
      <c r="J28" s="2" t="s">
        <v>46</v>
      </c>
      <c r="K28" s="6">
        <v>26.8</v>
      </c>
      <c r="L28" s="6">
        <v>152.4</v>
      </c>
      <c r="M28" s="6">
        <v>166.9</v>
      </c>
      <c r="N28" s="7">
        <v>0</v>
      </c>
      <c r="O28" s="7">
        <v>0</v>
      </c>
      <c r="P28" s="7">
        <v>3000</v>
      </c>
      <c r="Q28" s="7">
        <v>3242</v>
      </c>
      <c r="R28" s="8">
        <v>0.38</v>
      </c>
      <c r="S28" s="7">
        <v>896</v>
      </c>
      <c r="T28" s="7">
        <v>800</v>
      </c>
      <c r="U28" s="7">
        <v>0</v>
      </c>
      <c r="V28" s="7">
        <v>0</v>
      </c>
      <c r="W28" s="7">
        <v>594</v>
      </c>
      <c r="X28" s="7">
        <v>627</v>
      </c>
      <c r="Y28" s="7">
        <v>1517</v>
      </c>
      <c r="Z28" s="7">
        <v>1343</v>
      </c>
      <c r="AA28" s="7">
        <v>37313</v>
      </c>
      <c r="AB28" s="7">
        <v>54170</v>
      </c>
      <c r="AC28" s="7">
        <v>774</v>
      </c>
      <c r="AD28" s="7">
        <v>865</v>
      </c>
      <c r="AE28" s="7">
        <v>800</v>
      </c>
      <c r="AF28" s="7">
        <v>896</v>
      </c>
    </row>
    <row r="29" spans="1:32">
      <c r="A29">
        <v>113</v>
      </c>
      <c r="B29" s="14" t="s">
        <v>64</v>
      </c>
      <c r="C29" s="2" t="s">
        <v>65</v>
      </c>
      <c r="D29" s="2" t="s">
        <v>66</v>
      </c>
      <c r="E29" s="2" t="s">
        <v>44</v>
      </c>
      <c r="F29" s="2" t="s">
        <v>45</v>
      </c>
      <c r="G29" s="2" t="s">
        <v>6</v>
      </c>
      <c r="H29" s="3">
        <v>46251.588419907399</v>
      </c>
      <c r="I29" s="2">
        <v>64.8</v>
      </c>
      <c r="J29" s="2" t="s">
        <v>47</v>
      </c>
      <c r="K29" s="6">
        <v>26</v>
      </c>
      <c r="L29" s="6">
        <v>165.2</v>
      </c>
      <c r="M29" s="6">
        <v>163.69999999999999</v>
      </c>
      <c r="N29" s="7">
        <v>0</v>
      </c>
      <c r="O29" s="7">
        <v>0</v>
      </c>
      <c r="P29" s="7">
        <v>2965</v>
      </c>
      <c r="Q29" s="7">
        <v>2893</v>
      </c>
      <c r="R29" s="8">
        <v>0.35</v>
      </c>
      <c r="S29" s="7">
        <v>842</v>
      </c>
      <c r="T29" s="7">
        <v>861</v>
      </c>
      <c r="U29" s="7">
        <v>0</v>
      </c>
      <c r="V29" s="7">
        <v>2</v>
      </c>
      <c r="W29" s="7">
        <v>551</v>
      </c>
      <c r="X29" s="7">
        <v>564</v>
      </c>
      <c r="Y29" s="7">
        <v>1361</v>
      </c>
      <c r="Z29" s="7">
        <v>1724</v>
      </c>
      <c r="AA29" s="7">
        <v>143688</v>
      </c>
      <c r="AB29" s="7">
        <v>61853</v>
      </c>
      <c r="AC29" s="7">
        <v>847</v>
      </c>
      <c r="AD29" s="7">
        <v>810</v>
      </c>
      <c r="AE29" s="7">
        <v>861</v>
      </c>
      <c r="AF29" s="7">
        <v>842</v>
      </c>
    </row>
    <row r="30" spans="1:32">
      <c r="A30">
        <v>113</v>
      </c>
      <c r="B30" s="14" t="s">
        <v>64</v>
      </c>
      <c r="C30" s="2" t="s">
        <v>65</v>
      </c>
      <c r="D30" s="2" t="s">
        <v>66</v>
      </c>
      <c r="E30" s="2" t="s">
        <v>44</v>
      </c>
      <c r="F30" s="2" t="s">
        <v>45</v>
      </c>
      <c r="G30" s="2" t="s">
        <v>6</v>
      </c>
      <c r="H30" s="3">
        <v>46251.588419907399</v>
      </c>
      <c r="I30" s="2">
        <v>64.8</v>
      </c>
      <c r="J30" s="2" t="s">
        <v>48</v>
      </c>
      <c r="K30" s="6">
        <v>26</v>
      </c>
      <c r="L30" s="6">
        <v>156.4</v>
      </c>
      <c r="M30" s="6">
        <v>169.6</v>
      </c>
      <c r="N30" s="7">
        <v>0</v>
      </c>
      <c r="O30" s="7">
        <v>0</v>
      </c>
      <c r="P30" s="7">
        <v>2616</v>
      </c>
      <c r="Q30" s="7">
        <v>2855</v>
      </c>
      <c r="R30" s="8">
        <v>0.37</v>
      </c>
      <c r="S30" s="7">
        <v>921</v>
      </c>
      <c r="T30" s="7">
        <v>807</v>
      </c>
      <c r="U30" s="7">
        <v>0</v>
      </c>
      <c r="V30" s="7">
        <v>0</v>
      </c>
      <c r="W30" s="7">
        <v>566</v>
      </c>
      <c r="X30" s="7">
        <v>566</v>
      </c>
      <c r="Y30" s="7">
        <v>1940</v>
      </c>
      <c r="Z30" s="7">
        <v>1911</v>
      </c>
      <c r="AA30" s="7">
        <v>159272</v>
      </c>
      <c r="AB30" s="7">
        <v>193977</v>
      </c>
      <c r="AC30" s="7">
        <v>785</v>
      </c>
      <c r="AD30" s="7">
        <v>891</v>
      </c>
      <c r="AE30" s="7">
        <v>807</v>
      </c>
      <c r="AF30" s="7">
        <v>921</v>
      </c>
    </row>
    <row r="31" spans="1:32">
      <c r="A31">
        <v>128</v>
      </c>
      <c r="B31" s="14" t="s">
        <v>67</v>
      </c>
      <c r="C31" s="2" t="s">
        <v>68</v>
      </c>
      <c r="D31" s="2" t="s">
        <v>69</v>
      </c>
      <c r="E31" s="2" t="s">
        <v>44</v>
      </c>
      <c r="F31" s="2" t="s">
        <v>45</v>
      </c>
      <c r="G31" s="2" t="s">
        <v>6</v>
      </c>
      <c r="H31" s="3">
        <v>46251.585952581001</v>
      </c>
      <c r="I31" s="2">
        <v>62.44</v>
      </c>
      <c r="J31" s="2" t="s">
        <v>46</v>
      </c>
      <c r="K31" s="6">
        <v>31.7</v>
      </c>
      <c r="L31" s="6">
        <v>148.5</v>
      </c>
      <c r="M31" s="6">
        <v>160.80000000000001</v>
      </c>
      <c r="N31" s="7">
        <v>0</v>
      </c>
      <c r="O31" s="7">
        <v>0</v>
      </c>
      <c r="P31" s="7">
        <v>2184</v>
      </c>
      <c r="Q31" s="7">
        <v>2711</v>
      </c>
      <c r="R31" s="8">
        <v>0.45</v>
      </c>
      <c r="S31" s="7">
        <v>863</v>
      </c>
      <c r="T31" s="7">
        <v>771</v>
      </c>
      <c r="U31" s="7">
        <v>8</v>
      </c>
      <c r="V31" s="7">
        <v>0</v>
      </c>
      <c r="W31" s="7">
        <v>610</v>
      </c>
      <c r="X31" s="7">
        <v>655</v>
      </c>
      <c r="Y31" s="7">
        <v>1992</v>
      </c>
      <c r="Z31" s="7">
        <v>1843</v>
      </c>
      <c r="AA31" s="7">
        <v>35447</v>
      </c>
      <c r="AB31" s="7">
        <v>38303</v>
      </c>
      <c r="AC31" s="7">
        <v>771</v>
      </c>
      <c r="AD31" s="7">
        <v>852</v>
      </c>
      <c r="AE31" s="7">
        <v>769</v>
      </c>
      <c r="AF31" s="7">
        <v>863</v>
      </c>
    </row>
    <row r="32" spans="1:32">
      <c r="A32">
        <v>128</v>
      </c>
      <c r="B32" s="14" t="s">
        <v>67</v>
      </c>
      <c r="C32" s="2" t="s">
        <v>68</v>
      </c>
      <c r="D32" s="2" t="s">
        <v>69</v>
      </c>
      <c r="E32" s="2" t="s">
        <v>44</v>
      </c>
      <c r="F32" s="2" t="s">
        <v>45</v>
      </c>
      <c r="G32" s="2" t="s">
        <v>6</v>
      </c>
      <c r="H32" s="3">
        <v>46251.585952581001</v>
      </c>
      <c r="I32" s="2">
        <v>62.44</v>
      </c>
      <c r="J32" s="2" t="s">
        <v>47</v>
      </c>
      <c r="K32" s="6">
        <v>32</v>
      </c>
      <c r="L32" s="6">
        <v>156.5</v>
      </c>
      <c r="M32" s="6">
        <v>157.19999999999999</v>
      </c>
      <c r="N32" s="7">
        <v>0</v>
      </c>
      <c r="O32" s="7">
        <v>0</v>
      </c>
      <c r="P32" s="7">
        <v>2777</v>
      </c>
      <c r="Q32" s="7">
        <v>2598</v>
      </c>
      <c r="R32" s="8">
        <v>0.46</v>
      </c>
      <c r="S32" s="7">
        <v>818</v>
      </c>
      <c r="T32" s="7">
        <v>831</v>
      </c>
      <c r="U32" s="7">
        <v>0</v>
      </c>
      <c r="V32" s="7">
        <v>0</v>
      </c>
      <c r="W32" s="7">
        <v>610</v>
      </c>
      <c r="X32" s="7">
        <v>646</v>
      </c>
      <c r="Y32" s="7">
        <v>1856</v>
      </c>
      <c r="Z32" s="7">
        <v>1984</v>
      </c>
      <c r="AA32" s="7">
        <v>34211</v>
      </c>
      <c r="AB32" s="7">
        <v>29932</v>
      </c>
      <c r="AC32" s="7">
        <v>830</v>
      </c>
      <c r="AD32" s="7">
        <v>802</v>
      </c>
      <c r="AE32" s="7">
        <v>831</v>
      </c>
      <c r="AF32" s="7">
        <v>818</v>
      </c>
    </row>
    <row r="33" spans="1:32">
      <c r="A33">
        <v>128</v>
      </c>
      <c r="B33" s="14" t="s">
        <v>67</v>
      </c>
      <c r="C33" s="2" t="s">
        <v>68</v>
      </c>
      <c r="D33" s="2" t="s">
        <v>69</v>
      </c>
      <c r="E33" s="2" t="s">
        <v>44</v>
      </c>
      <c r="F33" s="2" t="s">
        <v>45</v>
      </c>
      <c r="G33" s="2" t="s">
        <v>6</v>
      </c>
      <c r="H33" s="3">
        <v>46251.585952581001</v>
      </c>
      <c r="I33" s="2">
        <v>62.44</v>
      </c>
      <c r="J33" s="2" t="s">
        <v>48</v>
      </c>
      <c r="K33" s="6">
        <v>32.6</v>
      </c>
      <c r="L33" s="6">
        <v>155.5</v>
      </c>
      <c r="M33" s="6">
        <v>158</v>
      </c>
      <c r="N33" s="7">
        <v>0</v>
      </c>
      <c r="O33" s="7">
        <v>0</v>
      </c>
      <c r="P33" s="7">
        <v>3137</v>
      </c>
      <c r="Q33" s="7">
        <v>2958</v>
      </c>
      <c r="R33" s="8">
        <v>0.48</v>
      </c>
      <c r="S33" s="7">
        <v>831</v>
      </c>
      <c r="T33" s="7">
        <v>867</v>
      </c>
      <c r="U33" s="7">
        <v>0</v>
      </c>
      <c r="V33" s="7">
        <v>0</v>
      </c>
      <c r="W33" s="7">
        <v>596</v>
      </c>
      <c r="X33" s="7">
        <v>640</v>
      </c>
      <c r="Y33" s="7">
        <v>2077</v>
      </c>
      <c r="Z33" s="7">
        <v>2730</v>
      </c>
      <c r="AA33" s="7">
        <v>54605</v>
      </c>
      <c r="AB33" s="7">
        <v>37085</v>
      </c>
      <c r="AC33" s="7">
        <v>865</v>
      </c>
      <c r="AD33" s="7">
        <v>815</v>
      </c>
      <c r="AE33" s="7">
        <v>867</v>
      </c>
      <c r="AF33" s="7">
        <v>831</v>
      </c>
    </row>
    <row r="34" spans="1:32">
      <c r="A34">
        <v>126</v>
      </c>
      <c r="C34" s="2" t="s">
        <v>70</v>
      </c>
      <c r="D34" s="2" t="s">
        <v>71</v>
      </c>
      <c r="E34" t="s">
        <v>44</v>
      </c>
      <c r="F34" t="s">
        <v>45</v>
      </c>
      <c r="G34" s="2" t="s">
        <v>6</v>
      </c>
      <c r="H34" s="3">
        <v>46251.598335914401</v>
      </c>
      <c r="I34" s="2">
        <v>66.680000000000007</v>
      </c>
      <c r="J34" s="2" t="s">
        <v>46</v>
      </c>
      <c r="K34" s="6">
        <v>20.7</v>
      </c>
      <c r="L34" s="6">
        <v>170.9</v>
      </c>
      <c r="M34" s="6">
        <v>132.5</v>
      </c>
      <c r="N34" s="7">
        <v>392</v>
      </c>
      <c r="O34" s="7">
        <v>459</v>
      </c>
      <c r="P34" s="7">
        <v>1562</v>
      </c>
      <c r="Q34" s="7">
        <v>1486</v>
      </c>
      <c r="R34" s="8">
        <v>0.27</v>
      </c>
      <c r="S34" s="7">
        <v>662</v>
      </c>
      <c r="T34" s="7">
        <v>777</v>
      </c>
      <c r="U34" s="7">
        <v>156</v>
      </c>
      <c r="V34" s="7">
        <v>148</v>
      </c>
      <c r="W34" s="7">
        <v>747</v>
      </c>
      <c r="X34" s="7">
        <v>600</v>
      </c>
      <c r="Y34" s="7">
        <v>1402</v>
      </c>
      <c r="Z34" s="7">
        <v>960</v>
      </c>
      <c r="AA34" s="7">
        <v>11430</v>
      </c>
      <c r="AB34" s="7">
        <v>18447</v>
      </c>
      <c r="AC34" s="7">
        <v>777</v>
      </c>
      <c r="AD34" s="7">
        <v>662</v>
      </c>
      <c r="AE34" s="7">
        <v>716</v>
      </c>
      <c r="AF34" s="7">
        <v>594</v>
      </c>
    </row>
    <row r="35" spans="1:32">
      <c r="A35">
        <v>126</v>
      </c>
      <c r="C35" s="2" t="s">
        <v>70</v>
      </c>
      <c r="D35" s="2" t="s">
        <v>71</v>
      </c>
      <c r="E35" t="s">
        <v>44</v>
      </c>
      <c r="F35" t="s">
        <v>45</v>
      </c>
      <c r="G35" s="2" t="s">
        <v>6</v>
      </c>
      <c r="H35" s="3">
        <v>46251.598335914401</v>
      </c>
      <c r="I35" s="2">
        <v>66.680000000000007</v>
      </c>
      <c r="J35" s="2" t="s">
        <v>47</v>
      </c>
      <c r="K35" s="6">
        <v>18.899999999999999</v>
      </c>
      <c r="L35" s="6">
        <v>184</v>
      </c>
      <c r="M35" s="6">
        <v>119.2</v>
      </c>
      <c r="N35" s="7">
        <v>-201</v>
      </c>
      <c r="O35" s="7">
        <v>243</v>
      </c>
      <c r="P35" s="7">
        <v>2321</v>
      </c>
      <c r="Q35" s="7">
        <v>1545</v>
      </c>
      <c r="R35" s="8">
        <v>0.26</v>
      </c>
      <c r="S35" s="7">
        <v>611</v>
      </c>
      <c r="T35" s="7">
        <v>808</v>
      </c>
      <c r="U35" s="7">
        <v>12</v>
      </c>
      <c r="V35" s="7">
        <v>148</v>
      </c>
      <c r="W35" s="7">
        <v>751</v>
      </c>
      <c r="X35" s="7">
        <v>529</v>
      </c>
      <c r="Y35" s="7">
        <v>1826</v>
      </c>
      <c r="Z35" s="7">
        <v>810</v>
      </c>
      <c r="AA35" s="7">
        <v>10126</v>
      </c>
      <c r="AB35" s="7">
        <v>33815</v>
      </c>
      <c r="AC35" s="7">
        <v>808</v>
      </c>
      <c r="AD35" s="7">
        <v>611</v>
      </c>
      <c r="AE35" s="7">
        <v>805</v>
      </c>
      <c r="AF35" s="7">
        <v>598</v>
      </c>
    </row>
    <row r="36" spans="1:32">
      <c r="A36">
        <v>126</v>
      </c>
      <c r="C36" s="2" t="s">
        <v>70</v>
      </c>
      <c r="D36" s="2" t="s">
        <v>71</v>
      </c>
      <c r="E36" t="s">
        <v>44</v>
      </c>
      <c r="F36" t="s">
        <v>45</v>
      </c>
      <c r="G36" s="2" t="s">
        <v>6</v>
      </c>
      <c r="H36" s="3">
        <v>46251.598335914401</v>
      </c>
      <c r="I36" s="2">
        <v>66.680000000000007</v>
      </c>
      <c r="J36" s="2" t="s">
        <v>48</v>
      </c>
      <c r="K36" s="6">
        <v>22</v>
      </c>
      <c r="L36" s="6">
        <v>167.2</v>
      </c>
      <c r="M36" s="6">
        <v>134.9</v>
      </c>
      <c r="N36" s="7">
        <v>-500</v>
      </c>
      <c r="O36" s="7">
        <v>1500</v>
      </c>
      <c r="P36" s="7">
        <v>2727</v>
      </c>
      <c r="Q36" s="7">
        <v>2044</v>
      </c>
      <c r="R36" s="8">
        <v>0.32</v>
      </c>
      <c r="S36" s="7">
        <v>669</v>
      </c>
      <c r="T36" s="7">
        <v>803</v>
      </c>
      <c r="U36" s="7">
        <v>0</v>
      </c>
      <c r="V36" s="7">
        <v>2</v>
      </c>
      <c r="W36" s="7">
        <v>721</v>
      </c>
      <c r="X36" s="7">
        <v>607</v>
      </c>
      <c r="Y36" s="7">
        <v>1135</v>
      </c>
      <c r="Z36" s="7">
        <v>1730</v>
      </c>
      <c r="AA36" s="7">
        <v>23379</v>
      </c>
      <c r="AB36" s="7">
        <v>15338</v>
      </c>
      <c r="AC36" s="7">
        <v>801</v>
      </c>
      <c r="AD36" s="7">
        <v>669</v>
      </c>
      <c r="AE36" s="7">
        <v>803</v>
      </c>
      <c r="AF36" s="7">
        <v>668</v>
      </c>
    </row>
    <row r="37" spans="1:32">
      <c r="A37">
        <v>125</v>
      </c>
      <c r="B37" s="14" t="s">
        <v>72</v>
      </c>
      <c r="C37" s="2" t="s">
        <v>73</v>
      </c>
      <c r="D37" s="2" t="s">
        <v>74</v>
      </c>
      <c r="E37" t="s">
        <v>44</v>
      </c>
      <c r="F37" t="s">
        <v>45</v>
      </c>
      <c r="G37" s="2" t="s">
        <v>6</v>
      </c>
      <c r="H37" s="3">
        <v>46251.597557870373</v>
      </c>
      <c r="I37" s="2">
        <v>59.93</v>
      </c>
      <c r="J37" s="2" t="s">
        <v>46</v>
      </c>
      <c r="K37" s="6">
        <v>29.4</v>
      </c>
      <c r="L37" s="6">
        <v>128.1</v>
      </c>
      <c r="M37" s="6">
        <v>139.30000000000001</v>
      </c>
      <c r="N37" s="7">
        <v>500</v>
      </c>
      <c r="O37" s="7">
        <v>125</v>
      </c>
      <c r="P37" s="7">
        <v>2092</v>
      </c>
      <c r="Q37" s="7">
        <v>2240</v>
      </c>
      <c r="R37" s="8">
        <v>0.43</v>
      </c>
      <c r="S37" s="7">
        <v>760</v>
      </c>
      <c r="T37" s="7">
        <v>707</v>
      </c>
      <c r="U37" s="7">
        <v>8</v>
      </c>
      <c r="V37" s="7">
        <v>12</v>
      </c>
      <c r="W37" s="7">
        <v>648</v>
      </c>
      <c r="X37" s="7">
        <v>711</v>
      </c>
      <c r="Y37" s="7">
        <v>1488</v>
      </c>
      <c r="Z37" s="7">
        <v>1404</v>
      </c>
      <c r="AA37" s="7">
        <v>20052</v>
      </c>
      <c r="AB37" s="7">
        <v>22551</v>
      </c>
      <c r="AC37" s="7">
        <v>707</v>
      </c>
      <c r="AD37" s="7">
        <v>760</v>
      </c>
      <c r="AE37" s="7">
        <v>703</v>
      </c>
      <c r="AF37" s="7">
        <v>757</v>
      </c>
    </row>
    <row r="38" spans="1:32">
      <c r="A38">
        <v>125</v>
      </c>
      <c r="B38" s="14" t="s">
        <v>72</v>
      </c>
      <c r="C38" s="2" t="s">
        <v>73</v>
      </c>
      <c r="D38" s="2" t="s">
        <v>74</v>
      </c>
      <c r="E38" t="s">
        <v>44</v>
      </c>
      <c r="F38" t="s">
        <v>45</v>
      </c>
      <c r="G38" s="2" t="s">
        <v>6</v>
      </c>
      <c r="H38" s="3">
        <v>46251.597553437503</v>
      </c>
      <c r="I38" s="2">
        <v>59.93</v>
      </c>
      <c r="J38" s="2" t="s">
        <v>47</v>
      </c>
      <c r="K38" s="6">
        <v>29.7</v>
      </c>
      <c r="L38" s="6">
        <v>126.3</v>
      </c>
      <c r="M38" s="6">
        <v>141.1</v>
      </c>
      <c r="N38" s="7">
        <v>875</v>
      </c>
      <c r="O38" s="7">
        <v>500</v>
      </c>
      <c r="P38" s="7">
        <v>2317</v>
      </c>
      <c r="Q38" s="7">
        <v>1978</v>
      </c>
      <c r="R38" s="8">
        <v>0.44</v>
      </c>
      <c r="S38" s="7">
        <v>793</v>
      </c>
      <c r="T38" s="7">
        <v>700</v>
      </c>
      <c r="U38" s="7">
        <v>68</v>
      </c>
      <c r="V38" s="7">
        <v>6</v>
      </c>
      <c r="W38" s="7">
        <v>643</v>
      </c>
      <c r="X38" s="7">
        <v>708</v>
      </c>
      <c r="Y38" s="7">
        <v>1278</v>
      </c>
      <c r="Z38" s="7">
        <v>1124</v>
      </c>
      <c r="AA38" s="7">
        <v>15606</v>
      </c>
      <c r="AB38" s="7">
        <v>19974</v>
      </c>
      <c r="AC38" s="7">
        <v>700</v>
      </c>
      <c r="AD38" s="7">
        <v>793</v>
      </c>
      <c r="AE38" s="7">
        <v>662</v>
      </c>
      <c r="AF38" s="7">
        <v>782</v>
      </c>
    </row>
    <row r="39" spans="1:32">
      <c r="A39">
        <v>125</v>
      </c>
      <c r="B39" s="14" t="s">
        <v>72</v>
      </c>
      <c r="C39" s="2" t="s">
        <v>73</v>
      </c>
      <c r="D39" s="2" t="s">
        <v>74</v>
      </c>
      <c r="E39" t="s">
        <v>44</v>
      </c>
      <c r="F39" t="s">
        <v>45</v>
      </c>
      <c r="G39" s="2" t="s">
        <v>6</v>
      </c>
      <c r="H39" s="3">
        <v>46251.597553437503</v>
      </c>
      <c r="I39" s="2">
        <v>59.93</v>
      </c>
      <c r="J39" s="2" t="s">
        <v>48</v>
      </c>
      <c r="K39" s="6">
        <v>29.1</v>
      </c>
      <c r="L39" s="6">
        <v>133</v>
      </c>
      <c r="M39" s="6">
        <v>144.4</v>
      </c>
      <c r="N39" s="7">
        <v>1000</v>
      </c>
      <c r="O39" s="7">
        <v>750</v>
      </c>
      <c r="P39" s="7">
        <v>2082</v>
      </c>
      <c r="Q39" s="7">
        <v>2440</v>
      </c>
      <c r="R39" s="8">
        <v>0.43</v>
      </c>
      <c r="S39" s="7">
        <v>773</v>
      </c>
      <c r="T39" s="7">
        <v>720</v>
      </c>
      <c r="U39" s="7">
        <v>6</v>
      </c>
      <c r="V39" s="7">
        <v>4</v>
      </c>
      <c r="W39" s="7">
        <v>621</v>
      </c>
      <c r="X39" s="7">
        <v>676</v>
      </c>
      <c r="Y39" s="7">
        <v>1639</v>
      </c>
      <c r="Z39" s="7">
        <v>1359</v>
      </c>
      <c r="AA39" s="7">
        <v>23425</v>
      </c>
      <c r="AB39" s="7">
        <v>31526</v>
      </c>
      <c r="AC39" s="7">
        <v>720</v>
      </c>
      <c r="AD39" s="7">
        <v>773</v>
      </c>
      <c r="AE39" s="7">
        <v>714</v>
      </c>
      <c r="AF39" s="7">
        <v>770</v>
      </c>
    </row>
    <row r="40" spans="1:32">
      <c r="A40">
        <v>134</v>
      </c>
      <c r="B40" s="14" t="s">
        <v>75</v>
      </c>
      <c r="C40" s="2" t="s">
        <v>76</v>
      </c>
      <c r="D40" s="2" t="s">
        <v>77</v>
      </c>
      <c r="E40" t="s">
        <v>44</v>
      </c>
      <c r="F40" t="s">
        <v>45</v>
      </c>
      <c r="G40" s="2" t="s">
        <v>6</v>
      </c>
      <c r="H40" s="3">
        <v>46251.592985104202</v>
      </c>
      <c r="I40" s="2">
        <v>84.63</v>
      </c>
      <c r="J40" s="2" t="s">
        <v>46</v>
      </c>
      <c r="K40" s="6">
        <v>24.5</v>
      </c>
      <c r="L40" s="6">
        <v>181.5</v>
      </c>
      <c r="M40" s="6">
        <v>177.8</v>
      </c>
      <c r="N40" s="7">
        <v>0</v>
      </c>
      <c r="O40" s="7">
        <v>0</v>
      </c>
      <c r="P40" s="7">
        <v>4388</v>
      </c>
      <c r="Q40" s="7">
        <v>5657</v>
      </c>
      <c r="R40" s="8">
        <v>0.38</v>
      </c>
      <c r="S40" s="7">
        <v>1052</v>
      </c>
      <c r="T40" s="7">
        <v>1206</v>
      </c>
      <c r="U40" s="7">
        <v>0</v>
      </c>
      <c r="V40" s="7">
        <v>8</v>
      </c>
      <c r="W40" s="7">
        <v>896</v>
      </c>
      <c r="X40" s="7">
        <v>889</v>
      </c>
      <c r="Y40" s="7">
        <v>2083</v>
      </c>
      <c r="Z40" s="7">
        <v>2123</v>
      </c>
      <c r="AA40" s="7">
        <v>32168</v>
      </c>
      <c r="AB40" s="7">
        <v>34717</v>
      </c>
      <c r="AC40" s="7">
        <v>1203</v>
      </c>
      <c r="AD40" s="7">
        <v>1052</v>
      </c>
      <c r="AE40" s="7">
        <v>1206</v>
      </c>
      <c r="AF40" s="7">
        <v>1047</v>
      </c>
    </row>
    <row r="41" spans="1:32">
      <c r="A41">
        <v>134</v>
      </c>
      <c r="B41" s="14" t="s">
        <v>78</v>
      </c>
      <c r="C41" s="2" t="s">
        <v>76</v>
      </c>
      <c r="D41" s="2" t="s">
        <v>77</v>
      </c>
      <c r="E41" t="s">
        <v>44</v>
      </c>
      <c r="F41" t="s">
        <v>45</v>
      </c>
      <c r="G41" s="2" t="s">
        <v>6</v>
      </c>
      <c r="H41" s="3">
        <v>46251.592985104202</v>
      </c>
      <c r="I41" s="2">
        <v>84.63</v>
      </c>
      <c r="J41" s="2" t="s">
        <v>47</v>
      </c>
      <c r="K41" s="6">
        <v>25.4</v>
      </c>
      <c r="L41" s="6">
        <v>187</v>
      </c>
      <c r="M41" s="6">
        <v>189.2</v>
      </c>
      <c r="N41" s="7">
        <v>0</v>
      </c>
      <c r="O41" s="7">
        <v>0</v>
      </c>
      <c r="P41" s="7">
        <v>4819</v>
      </c>
      <c r="Q41" s="7">
        <v>5854</v>
      </c>
      <c r="R41" s="8">
        <v>0.39</v>
      </c>
      <c r="S41" s="7">
        <v>1073</v>
      </c>
      <c r="T41" s="7">
        <v>1201</v>
      </c>
      <c r="U41" s="7">
        <v>0</v>
      </c>
      <c r="V41" s="7">
        <v>2</v>
      </c>
      <c r="W41" s="7">
        <v>849</v>
      </c>
      <c r="X41" s="7">
        <v>851</v>
      </c>
      <c r="Y41" s="7">
        <v>1933</v>
      </c>
      <c r="Z41" s="7">
        <v>2143</v>
      </c>
      <c r="AA41" s="7">
        <v>27475</v>
      </c>
      <c r="AB41" s="7">
        <v>22477</v>
      </c>
      <c r="AC41" s="7">
        <v>1167</v>
      </c>
      <c r="AD41" s="7">
        <v>1069</v>
      </c>
      <c r="AE41" s="7">
        <v>1201</v>
      </c>
      <c r="AF41" s="7">
        <v>1073</v>
      </c>
    </row>
    <row r="42" spans="1:32">
      <c r="A42">
        <v>134</v>
      </c>
      <c r="B42" s="14" t="s">
        <v>78</v>
      </c>
      <c r="C42" s="2" t="s">
        <v>76</v>
      </c>
      <c r="D42" s="2" t="s">
        <v>77</v>
      </c>
      <c r="E42" t="s">
        <v>44</v>
      </c>
      <c r="F42" t="s">
        <v>45</v>
      </c>
      <c r="G42" s="2" t="s">
        <v>6</v>
      </c>
      <c r="H42" s="3">
        <v>46251.592985104202</v>
      </c>
      <c r="I42" s="2">
        <v>84.63</v>
      </c>
      <c r="J42" s="2" t="s">
        <v>48</v>
      </c>
      <c r="K42" s="6">
        <v>24.4</v>
      </c>
      <c r="L42" s="6">
        <v>182.6</v>
      </c>
      <c r="M42" s="6">
        <v>177.3</v>
      </c>
      <c r="N42" s="7">
        <v>0</v>
      </c>
      <c r="O42" s="7">
        <v>0</v>
      </c>
      <c r="P42" s="7">
        <v>4991</v>
      </c>
      <c r="Q42" s="7">
        <v>6075</v>
      </c>
      <c r="R42" s="8">
        <v>0.4</v>
      </c>
      <c r="S42" s="7">
        <v>1086</v>
      </c>
      <c r="T42" s="7">
        <v>1196</v>
      </c>
      <c r="U42" s="7">
        <v>0</v>
      </c>
      <c r="V42" s="7">
        <v>0</v>
      </c>
      <c r="W42" s="7">
        <v>894</v>
      </c>
      <c r="X42" s="7">
        <v>879</v>
      </c>
      <c r="Y42" s="7">
        <v>1393</v>
      </c>
      <c r="Z42" s="7">
        <v>1234</v>
      </c>
      <c r="AA42" s="7">
        <v>20568</v>
      </c>
      <c r="AB42" s="7">
        <v>17859</v>
      </c>
      <c r="AC42" s="7">
        <v>1162</v>
      </c>
      <c r="AD42" s="7">
        <v>1061</v>
      </c>
      <c r="AE42" s="7">
        <v>1196</v>
      </c>
      <c r="AF42" s="7">
        <v>1086</v>
      </c>
    </row>
    <row r="43" spans="1:32">
      <c r="A43">
        <v>112</v>
      </c>
      <c r="B43" s="14" t="s">
        <v>79</v>
      </c>
      <c r="C43" s="2" t="s">
        <v>80</v>
      </c>
      <c r="D43" s="2" t="s">
        <v>81</v>
      </c>
      <c r="E43" t="s">
        <v>44</v>
      </c>
      <c r="F43" t="s">
        <v>45</v>
      </c>
      <c r="G43" s="2" t="s">
        <v>6</v>
      </c>
      <c r="H43" s="3">
        <v>46251.591651354203</v>
      </c>
      <c r="I43" s="2">
        <v>79.989999999999995</v>
      </c>
      <c r="J43" s="2" t="s">
        <v>46</v>
      </c>
      <c r="K43" s="6">
        <v>26.5</v>
      </c>
      <c r="L43" s="6">
        <v>213.4</v>
      </c>
      <c r="M43" s="6">
        <v>178.9</v>
      </c>
      <c r="N43" s="7">
        <v>500</v>
      </c>
      <c r="O43" s="7">
        <v>1750</v>
      </c>
      <c r="P43" s="7">
        <v>3496</v>
      </c>
      <c r="Q43" s="7">
        <v>2615</v>
      </c>
      <c r="R43" s="8">
        <v>0.36</v>
      </c>
      <c r="S43" s="7">
        <v>834</v>
      </c>
      <c r="T43" s="7">
        <v>987</v>
      </c>
      <c r="U43" s="7">
        <v>4</v>
      </c>
      <c r="V43" s="7">
        <v>8</v>
      </c>
      <c r="W43" s="7">
        <v>841</v>
      </c>
      <c r="X43" s="7">
        <v>736</v>
      </c>
      <c r="Y43" s="7">
        <v>1737</v>
      </c>
      <c r="Z43" s="7">
        <v>2105</v>
      </c>
      <c r="AA43" s="7">
        <v>58474</v>
      </c>
      <c r="AB43" s="7">
        <v>41357</v>
      </c>
      <c r="AC43" s="7">
        <v>971</v>
      </c>
      <c r="AD43" s="7">
        <v>834</v>
      </c>
      <c r="AE43" s="7">
        <v>987</v>
      </c>
      <c r="AF43" s="7">
        <v>826</v>
      </c>
    </row>
    <row r="44" spans="1:32">
      <c r="A44">
        <v>112</v>
      </c>
      <c r="B44" s="14" t="s">
        <v>79</v>
      </c>
      <c r="C44" s="2" t="s">
        <v>80</v>
      </c>
      <c r="D44" s="2" t="s">
        <v>81</v>
      </c>
      <c r="E44" t="s">
        <v>44</v>
      </c>
      <c r="F44" t="s">
        <v>45</v>
      </c>
      <c r="G44" s="2" t="s">
        <v>6</v>
      </c>
      <c r="H44" s="3">
        <v>46251.591651354203</v>
      </c>
      <c r="I44" s="2">
        <v>79.989999999999995</v>
      </c>
      <c r="J44" s="2" t="s">
        <v>47</v>
      </c>
      <c r="K44" s="6">
        <v>26.5</v>
      </c>
      <c r="L44" s="6">
        <v>210.3</v>
      </c>
      <c r="M44" s="6">
        <v>180.3</v>
      </c>
      <c r="N44" s="7">
        <v>0</v>
      </c>
      <c r="O44" s="7">
        <v>0</v>
      </c>
      <c r="P44" s="7">
        <v>3464</v>
      </c>
      <c r="Q44" s="7">
        <v>3366</v>
      </c>
      <c r="R44" s="8">
        <v>0.35</v>
      </c>
      <c r="S44" s="7">
        <v>821</v>
      </c>
      <c r="T44" s="7">
        <v>1038</v>
      </c>
      <c r="U44" s="7">
        <v>0</v>
      </c>
      <c r="V44" s="7">
        <v>0</v>
      </c>
      <c r="W44" s="7">
        <v>848</v>
      </c>
      <c r="X44" s="7">
        <v>746</v>
      </c>
      <c r="Y44" s="7">
        <v>1474</v>
      </c>
      <c r="Z44" s="7">
        <v>1904</v>
      </c>
      <c r="AA44" s="7">
        <v>50107</v>
      </c>
      <c r="AB44" s="7">
        <v>40945</v>
      </c>
      <c r="AC44" s="7">
        <v>1029</v>
      </c>
      <c r="AD44" s="7">
        <v>820</v>
      </c>
      <c r="AE44" s="7">
        <v>1038</v>
      </c>
      <c r="AF44" s="7">
        <v>821</v>
      </c>
    </row>
    <row r="45" spans="1:32">
      <c r="A45">
        <v>112</v>
      </c>
      <c r="B45" s="14" t="s">
        <v>79</v>
      </c>
      <c r="C45" s="2" t="s">
        <v>80</v>
      </c>
      <c r="D45" s="2" t="s">
        <v>81</v>
      </c>
      <c r="E45" t="s">
        <v>44</v>
      </c>
      <c r="F45" t="s">
        <v>45</v>
      </c>
      <c r="G45" s="2" t="s">
        <v>6</v>
      </c>
      <c r="H45" s="3">
        <v>46251.591651354203</v>
      </c>
      <c r="I45" s="2">
        <v>79.989999999999995</v>
      </c>
      <c r="J45" s="2" t="s">
        <v>48</v>
      </c>
      <c r="K45" s="6">
        <v>25.8</v>
      </c>
      <c r="L45" s="6">
        <v>225</v>
      </c>
      <c r="M45" s="6">
        <v>183.1</v>
      </c>
      <c r="N45" s="7">
        <v>0</v>
      </c>
      <c r="O45" s="7">
        <v>0</v>
      </c>
      <c r="P45" s="7">
        <v>2935</v>
      </c>
      <c r="Q45" s="7">
        <v>3038</v>
      </c>
      <c r="R45" s="8">
        <v>0.34</v>
      </c>
      <c r="S45" s="7">
        <v>874</v>
      </c>
      <c r="T45" s="7">
        <v>994</v>
      </c>
      <c r="U45" s="7">
        <v>0</v>
      </c>
      <c r="V45" s="7">
        <v>0</v>
      </c>
      <c r="W45" s="7">
        <v>834</v>
      </c>
      <c r="X45" s="7">
        <v>719</v>
      </c>
      <c r="Y45" s="7">
        <v>1797</v>
      </c>
      <c r="Z45" s="7">
        <v>1350</v>
      </c>
      <c r="AA45" s="7">
        <v>33752</v>
      </c>
      <c r="AB45" s="7">
        <v>44925</v>
      </c>
      <c r="AC45" s="7">
        <v>976</v>
      </c>
      <c r="AD45" s="7">
        <v>865</v>
      </c>
      <c r="AE45" s="7">
        <v>994</v>
      </c>
      <c r="AF45" s="7">
        <v>874</v>
      </c>
    </row>
    <row r="46" spans="1:32">
      <c r="A46">
        <v>114</v>
      </c>
      <c r="B46" s="14" t="s">
        <v>82</v>
      </c>
      <c r="C46" s="2" t="s">
        <v>83</v>
      </c>
      <c r="D46" s="2" t="s">
        <v>84</v>
      </c>
      <c r="E46" t="s">
        <v>44</v>
      </c>
      <c r="F46" t="s">
        <v>45</v>
      </c>
      <c r="G46" s="2" t="s">
        <v>6</v>
      </c>
      <c r="H46" s="3">
        <v>46251.587928043999</v>
      </c>
      <c r="I46" s="2">
        <v>61.12</v>
      </c>
      <c r="J46" s="2" t="s">
        <v>46</v>
      </c>
      <c r="K46" s="6">
        <v>27.5</v>
      </c>
      <c r="L46" s="6">
        <v>154.6</v>
      </c>
      <c r="M46" s="6">
        <v>155.5</v>
      </c>
      <c r="N46" s="7">
        <v>0</v>
      </c>
      <c r="O46" s="7">
        <v>0</v>
      </c>
      <c r="P46" s="7">
        <v>1981</v>
      </c>
      <c r="Q46" s="7">
        <v>2116</v>
      </c>
      <c r="R46" s="8">
        <v>0.38</v>
      </c>
      <c r="S46" s="7">
        <v>686</v>
      </c>
      <c r="T46" s="7">
        <v>676</v>
      </c>
      <c r="U46" s="7">
        <v>198</v>
      </c>
      <c r="V46" s="7">
        <v>0</v>
      </c>
      <c r="W46" s="7">
        <v>635</v>
      </c>
      <c r="X46" s="7">
        <v>625</v>
      </c>
      <c r="Y46" s="7">
        <v>1260</v>
      </c>
      <c r="Z46" s="7">
        <v>957</v>
      </c>
      <c r="AA46" s="7">
        <v>11672</v>
      </c>
      <c r="AB46" s="7">
        <v>16154</v>
      </c>
      <c r="AC46" s="7">
        <v>667</v>
      </c>
      <c r="AD46" s="7">
        <v>686</v>
      </c>
      <c r="AE46" s="7">
        <v>676</v>
      </c>
      <c r="AF46" s="7">
        <v>686</v>
      </c>
    </row>
    <row r="47" spans="1:32">
      <c r="A47">
        <v>114</v>
      </c>
      <c r="B47" s="14" t="s">
        <v>82</v>
      </c>
      <c r="C47" s="2" t="s">
        <v>83</v>
      </c>
      <c r="D47" s="2" t="s">
        <v>84</v>
      </c>
      <c r="E47" t="s">
        <v>44</v>
      </c>
      <c r="F47" t="s">
        <v>45</v>
      </c>
      <c r="G47" s="2" t="s">
        <v>6</v>
      </c>
      <c r="H47" s="3">
        <v>46251.587928043999</v>
      </c>
      <c r="I47" s="2">
        <v>61.12</v>
      </c>
      <c r="J47" s="2" t="s">
        <v>47</v>
      </c>
      <c r="K47" s="6">
        <v>26.5</v>
      </c>
      <c r="L47" s="6">
        <v>148.4</v>
      </c>
      <c r="M47" s="6">
        <v>141.69999999999999</v>
      </c>
      <c r="N47" s="7">
        <v>0</v>
      </c>
      <c r="O47" s="7">
        <v>0</v>
      </c>
      <c r="P47" s="7">
        <v>2025</v>
      </c>
      <c r="Q47" s="7">
        <v>1933</v>
      </c>
      <c r="R47" s="8">
        <v>0.4</v>
      </c>
      <c r="S47" s="7">
        <v>681</v>
      </c>
      <c r="T47" s="7">
        <v>705</v>
      </c>
      <c r="U47" s="7">
        <v>0</v>
      </c>
      <c r="V47" s="7">
        <v>0</v>
      </c>
      <c r="W47" s="7">
        <v>656</v>
      </c>
      <c r="X47" s="7">
        <v>639</v>
      </c>
      <c r="Y47" s="7">
        <v>1351</v>
      </c>
      <c r="Z47" s="7">
        <v>994</v>
      </c>
      <c r="AA47" s="7">
        <v>12123</v>
      </c>
      <c r="AB47" s="7">
        <v>16888</v>
      </c>
      <c r="AC47" s="7">
        <v>700</v>
      </c>
      <c r="AD47" s="7">
        <v>671</v>
      </c>
      <c r="AE47" s="7">
        <v>705</v>
      </c>
      <c r="AF47" s="7">
        <v>681</v>
      </c>
    </row>
    <row r="48" spans="1:32">
      <c r="A48">
        <v>114</v>
      </c>
      <c r="B48" s="14" t="s">
        <v>82</v>
      </c>
      <c r="C48" s="2" t="s">
        <v>83</v>
      </c>
      <c r="D48" s="2" t="s">
        <v>84</v>
      </c>
      <c r="E48" t="s">
        <v>44</v>
      </c>
      <c r="F48" t="s">
        <v>45</v>
      </c>
      <c r="G48" s="2" t="s">
        <v>6</v>
      </c>
      <c r="H48" s="3">
        <v>46251.587928043999</v>
      </c>
      <c r="I48" s="2">
        <v>61.12</v>
      </c>
      <c r="J48" s="2" t="s">
        <v>48</v>
      </c>
      <c r="K48" s="6">
        <v>25.4</v>
      </c>
      <c r="L48" s="6">
        <v>144.69999999999999</v>
      </c>
      <c r="M48" s="6">
        <v>147.4</v>
      </c>
      <c r="N48" s="7">
        <v>0</v>
      </c>
      <c r="O48" s="7">
        <v>0</v>
      </c>
      <c r="P48" s="7">
        <v>2141</v>
      </c>
      <c r="Q48" s="7">
        <v>2102</v>
      </c>
      <c r="R48" s="8">
        <v>0.38</v>
      </c>
      <c r="S48" s="7">
        <v>679</v>
      </c>
      <c r="T48" s="7">
        <v>720</v>
      </c>
      <c r="U48" s="7">
        <v>0</v>
      </c>
      <c r="V48" s="7">
        <v>0</v>
      </c>
      <c r="W48" s="7">
        <v>606</v>
      </c>
      <c r="X48" s="7">
        <v>637</v>
      </c>
      <c r="Y48" s="7">
        <v>714</v>
      </c>
      <c r="Z48" s="7">
        <v>1019</v>
      </c>
      <c r="AA48" s="7">
        <v>11077</v>
      </c>
      <c r="AB48" s="7">
        <v>7761</v>
      </c>
      <c r="AC48" s="7">
        <v>716</v>
      </c>
      <c r="AD48" s="7">
        <v>675</v>
      </c>
      <c r="AE48" s="7">
        <v>720</v>
      </c>
      <c r="AF48" s="7">
        <v>679</v>
      </c>
    </row>
    <row r="49" spans="1:32">
      <c r="A49">
        <v>130</v>
      </c>
      <c r="B49" s="14" t="s">
        <v>85</v>
      </c>
      <c r="C49" s="2" t="s">
        <v>86</v>
      </c>
      <c r="D49" s="2" t="s">
        <v>87</v>
      </c>
      <c r="E49" t="s">
        <v>44</v>
      </c>
      <c r="F49" t="s">
        <v>45</v>
      </c>
      <c r="G49" s="2" t="s">
        <v>6</v>
      </c>
      <c r="H49" s="3">
        <v>46251.585883993102</v>
      </c>
      <c r="I49" s="2">
        <v>65.11</v>
      </c>
      <c r="J49" s="2" t="s">
        <v>46</v>
      </c>
      <c r="K49" s="6">
        <v>28.8</v>
      </c>
      <c r="L49" s="6">
        <v>141.30000000000001</v>
      </c>
      <c r="M49" s="6">
        <v>146</v>
      </c>
      <c r="N49" s="7">
        <v>625</v>
      </c>
      <c r="O49" s="7">
        <v>375</v>
      </c>
      <c r="P49" s="7">
        <v>3242</v>
      </c>
      <c r="Q49" s="7">
        <v>3108</v>
      </c>
      <c r="R49" s="8">
        <v>0.48</v>
      </c>
      <c r="S49" s="7">
        <v>868</v>
      </c>
      <c r="T49" s="7">
        <v>857</v>
      </c>
      <c r="U49" s="7">
        <v>8</v>
      </c>
      <c r="V49" s="7">
        <v>16</v>
      </c>
      <c r="W49" s="7">
        <v>696</v>
      </c>
      <c r="X49" s="7">
        <v>727</v>
      </c>
      <c r="Y49" s="7">
        <v>1743</v>
      </c>
      <c r="Z49" s="7">
        <v>1948</v>
      </c>
      <c r="AA49" s="7">
        <v>29516</v>
      </c>
      <c r="AB49" s="7">
        <v>26409</v>
      </c>
      <c r="AC49" s="7">
        <v>857</v>
      </c>
      <c r="AD49" s="7">
        <v>868</v>
      </c>
      <c r="AE49" s="7">
        <v>852</v>
      </c>
      <c r="AF49" s="7">
        <v>865</v>
      </c>
    </row>
    <row r="50" spans="1:32">
      <c r="A50">
        <v>130</v>
      </c>
      <c r="B50" s="14" t="s">
        <v>85</v>
      </c>
      <c r="C50" s="2" t="s">
        <v>86</v>
      </c>
      <c r="D50" s="2" t="s">
        <v>87</v>
      </c>
      <c r="E50" t="s">
        <v>44</v>
      </c>
      <c r="F50" t="s">
        <v>45</v>
      </c>
      <c r="G50" s="2" t="s">
        <v>6</v>
      </c>
      <c r="H50" s="3">
        <v>46251.585883993102</v>
      </c>
      <c r="I50" s="2">
        <v>65.11</v>
      </c>
      <c r="J50" s="2" t="s">
        <v>47</v>
      </c>
      <c r="K50" s="6">
        <v>28.5</v>
      </c>
      <c r="L50" s="6">
        <v>150.5</v>
      </c>
      <c r="M50" s="6">
        <v>155</v>
      </c>
      <c r="N50" s="7">
        <v>0</v>
      </c>
      <c r="O50" s="7">
        <v>0</v>
      </c>
      <c r="P50" s="7">
        <v>2719</v>
      </c>
      <c r="Q50" s="7">
        <v>2996</v>
      </c>
      <c r="R50" s="8">
        <v>0.45</v>
      </c>
      <c r="S50" s="7">
        <v>794</v>
      </c>
      <c r="T50" s="7">
        <v>819</v>
      </c>
      <c r="U50" s="7">
        <v>2</v>
      </c>
      <c r="V50" s="7">
        <v>0</v>
      </c>
      <c r="W50" s="7">
        <v>639</v>
      </c>
      <c r="X50" s="7">
        <v>687</v>
      </c>
      <c r="Y50" s="7">
        <v>2184</v>
      </c>
      <c r="Z50" s="7">
        <v>1957</v>
      </c>
      <c r="AA50" s="7">
        <v>31566</v>
      </c>
      <c r="AB50" s="7">
        <v>36400</v>
      </c>
      <c r="AC50" s="7">
        <v>817</v>
      </c>
      <c r="AD50" s="7">
        <v>794</v>
      </c>
      <c r="AE50" s="7">
        <v>819</v>
      </c>
      <c r="AF50" s="7">
        <v>794</v>
      </c>
    </row>
    <row r="51" spans="1:32">
      <c r="A51">
        <v>130</v>
      </c>
      <c r="B51" s="14" t="s">
        <v>85</v>
      </c>
      <c r="C51" s="2" t="s">
        <v>86</v>
      </c>
      <c r="D51" s="2" t="s">
        <v>87</v>
      </c>
      <c r="E51" t="s">
        <v>44</v>
      </c>
      <c r="F51" t="s">
        <v>45</v>
      </c>
      <c r="G51" s="2" t="s">
        <v>6</v>
      </c>
      <c r="H51" s="3">
        <v>46251.585883993102</v>
      </c>
      <c r="I51" s="2">
        <v>65.11</v>
      </c>
      <c r="J51" s="2" t="s">
        <v>48</v>
      </c>
      <c r="K51" s="6">
        <v>28.4</v>
      </c>
      <c r="L51" s="6">
        <v>149.5</v>
      </c>
      <c r="M51" s="6">
        <v>148.9</v>
      </c>
      <c r="N51" s="7">
        <v>0</v>
      </c>
      <c r="O51" s="7">
        <v>0</v>
      </c>
      <c r="P51" s="7">
        <v>3283</v>
      </c>
      <c r="Q51" s="7">
        <v>2661</v>
      </c>
      <c r="R51" s="8">
        <v>0.45</v>
      </c>
      <c r="S51" s="7">
        <v>851</v>
      </c>
      <c r="T51" s="7">
        <v>826</v>
      </c>
      <c r="U51" s="7">
        <v>2</v>
      </c>
      <c r="V51" s="7">
        <v>0</v>
      </c>
      <c r="W51" s="7">
        <v>669</v>
      </c>
      <c r="X51" s="7">
        <v>679</v>
      </c>
      <c r="Y51" s="7">
        <v>2120</v>
      </c>
      <c r="Z51" s="7">
        <v>1886</v>
      </c>
      <c r="AA51" s="7">
        <v>27736</v>
      </c>
      <c r="AB51" s="7">
        <v>31177</v>
      </c>
      <c r="AC51" s="7">
        <v>826</v>
      </c>
      <c r="AD51" s="7">
        <v>851</v>
      </c>
      <c r="AE51" s="7">
        <v>823</v>
      </c>
      <c r="AF51" s="7">
        <v>851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C9A6B-F390-4013-B81B-00711F29B828}">
  <dimension ref="A1:AF43"/>
  <sheetViews>
    <sheetView workbookViewId="0">
      <selection activeCell="C7" sqref="C7"/>
    </sheetView>
  </sheetViews>
  <sheetFormatPr defaultRowHeight="15"/>
  <cols>
    <col min="1" max="2" width="9.140625" style="11"/>
    <col min="3" max="3" width="20" customWidth="1"/>
    <col min="4" max="4" width="19.85546875" customWidth="1"/>
    <col min="8" max="8" width="17" bestFit="1" customWidth="1"/>
  </cols>
  <sheetData>
    <row r="1" spans="1:32">
      <c r="C1" s="1" t="s">
        <v>0</v>
      </c>
    </row>
    <row r="2" spans="1:32">
      <c r="C2" s="1" t="s">
        <v>1</v>
      </c>
      <c r="D2" s="5">
        <v>46280.4365712406</v>
      </c>
    </row>
    <row r="3" spans="1:32">
      <c r="C3" s="1" t="s">
        <v>2</v>
      </c>
      <c r="D3" s="5">
        <v>46273.585485219897</v>
      </c>
    </row>
    <row r="4" spans="1:32">
      <c r="C4" s="1" t="s">
        <v>3</v>
      </c>
      <c r="D4" s="2" t="s">
        <v>4</v>
      </c>
    </row>
    <row r="5" spans="1:32">
      <c r="C5" s="1" t="s">
        <v>5</v>
      </c>
      <c r="D5" s="2" t="s">
        <v>6</v>
      </c>
    </row>
    <row r="6" spans="1:32">
      <c r="C6" s="1" t="s">
        <v>7</v>
      </c>
      <c r="D6" s="2" t="s">
        <v>8</v>
      </c>
    </row>
    <row r="7" spans="1:32">
      <c r="C7" s="1" t="s">
        <v>9</v>
      </c>
      <c r="D7" s="13" cm="1">
        <f t="array" ref="D7">COUNTA(_xlfn._xlws.FILTER(_xlfn.UNIQUE(C10:C200),_xlfn.UNIQUE(C10:C200)&lt;&gt;0))</f>
        <v>11</v>
      </c>
    </row>
    <row r="9" spans="1:32">
      <c r="A9" s="12" t="s">
        <v>10</v>
      </c>
      <c r="B9" s="12" t="s">
        <v>11</v>
      </c>
      <c r="C9" s="4" t="s">
        <v>12</v>
      </c>
      <c r="D9" s="4" t="s">
        <v>13</v>
      </c>
      <c r="E9" s="4" t="s">
        <v>14</v>
      </c>
      <c r="F9" s="4" t="s">
        <v>15</v>
      </c>
      <c r="G9" s="4" t="s">
        <v>16</v>
      </c>
      <c r="H9" s="4" t="s">
        <v>2</v>
      </c>
      <c r="I9" s="4" t="s">
        <v>17</v>
      </c>
      <c r="J9" s="4" t="s">
        <v>18</v>
      </c>
      <c r="K9" s="4" t="s">
        <v>19</v>
      </c>
      <c r="L9" s="4" t="s">
        <v>20</v>
      </c>
      <c r="M9" s="4" t="s">
        <v>21</v>
      </c>
      <c r="N9" s="4" t="s">
        <v>22</v>
      </c>
      <c r="O9" s="4" t="s">
        <v>23</v>
      </c>
      <c r="P9" s="4" t="s">
        <v>24</v>
      </c>
      <c r="Q9" s="4" t="s">
        <v>25</v>
      </c>
      <c r="R9" s="4" t="s">
        <v>26</v>
      </c>
      <c r="S9" s="4" t="s">
        <v>27</v>
      </c>
      <c r="T9" s="4" t="s">
        <v>28</v>
      </c>
      <c r="U9" s="4" t="s">
        <v>29</v>
      </c>
      <c r="V9" s="4" t="s">
        <v>30</v>
      </c>
      <c r="W9" s="4" t="s">
        <v>31</v>
      </c>
      <c r="X9" s="4" t="s">
        <v>32</v>
      </c>
      <c r="Y9" s="4" t="s">
        <v>33</v>
      </c>
      <c r="Z9" s="4" t="s">
        <v>34</v>
      </c>
      <c r="AA9" s="4" t="s">
        <v>35</v>
      </c>
      <c r="AB9" s="4" t="s">
        <v>36</v>
      </c>
      <c r="AC9" s="4" t="s">
        <v>37</v>
      </c>
      <c r="AD9" s="4" t="s">
        <v>38</v>
      </c>
      <c r="AE9" s="4" t="s">
        <v>39</v>
      </c>
      <c r="AF9" s="4" t="s">
        <v>40</v>
      </c>
    </row>
    <row r="10" spans="1:32">
      <c r="A10" s="11">
        <v>130</v>
      </c>
      <c r="B10" s="11" t="s">
        <v>85</v>
      </c>
      <c r="C10" s="2" t="s">
        <v>86</v>
      </c>
      <c r="D10" s="2" t="s">
        <v>87</v>
      </c>
      <c r="E10" t="s">
        <v>44</v>
      </c>
      <c r="F10" t="s">
        <v>45</v>
      </c>
      <c r="G10" s="2" t="s">
        <v>6</v>
      </c>
      <c r="H10" s="5">
        <v>46273.595354942103</v>
      </c>
      <c r="I10" s="2">
        <v>65.83</v>
      </c>
      <c r="J10" s="2" t="s">
        <v>46</v>
      </c>
      <c r="K10" s="6">
        <v>26.6</v>
      </c>
      <c r="L10" s="6">
        <v>145.19999999999999</v>
      </c>
      <c r="M10" s="6">
        <v>150.4</v>
      </c>
      <c r="N10" s="7">
        <v>0</v>
      </c>
      <c r="O10" s="7">
        <v>0</v>
      </c>
      <c r="P10" s="7">
        <v>3396</v>
      </c>
      <c r="Q10" s="7">
        <v>2963</v>
      </c>
      <c r="R10" s="8">
        <v>0.41</v>
      </c>
      <c r="S10" s="7">
        <v>823</v>
      </c>
      <c r="T10" s="7">
        <v>818</v>
      </c>
      <c r="U10" s="7">
        <v>0</v>
      </c>
      <c r="V10" s="7">
        <v>0</v>
      </c>
      <c r="W10" s="7">
        <v>667</v>
      </c>
      <c r="X10" s="7">
        <v>702</v>
      </c>
      <c r="Y10" s="7">
        <v>2168</v>
      </c>
      <c r="Z10" s="7">
        <v>2115</v>
      </c>
      <c r="AA10" s="7">
        <v>37760</v>
      </c>
      <c r="AB10" s="7">
        <v>43361</v>
      </c>
      <c r="AC10" s="7">
        <v>818</v>
      </c>
      <c r="AD10" s="7">
        <v>822</v>
      </c>
      <c r="AE10" s="7">
        <v>818</v>
      </c>
      <c r="AF10" s="7">
        <v>823</v>
      </c>
    </row>
    <row r="11" spans="1:32">
      <c r="A11" s="11">
        <v>130</v>
      </c>
      <c r="B11" s="11" t="s">
        <v>85</v>
      </c>
      <c r="C11" s="2" t="s">
        <v>86</v>
      </c>
      <c r="D11" s="2" t="s">
        <v>87</v>
      </c>
      <c r="E11" t="s">
        <v>44</v>
      </c>
      <c r="F11" t="s">
        <v>45</v>
      </c>
      <c r="G11" s="2" t="s">
        <v>6</v>
      </c>
      <c r="H11" s="5">
        <v>46273.595354942103</v>
      </c>
      <c r="I11" s="2">
        <v>65.83</v>
      </c>
      <c r="J11" s="2" t="s">
        <v>47</v>
      </c>
      <c r="K11" s="6">
        <v>26.2</v>
      </c>
      <c r="L11" s="6">
        <v>148.4</v>
      </c>
      <c r="M11" s="6">
        <v>154.9</v>
      </c>
      <c r="N11" s="7">
        <v>500</v>
      </c>
      <c r="O11" s="7">
        <v>2000</v>
      </c>
      <c r="P11" s="7">
        <v>2919</v>
      </c>
      <c r="Q11" s="7">
        <v>3119</v>
      </c>
      <c r="R11" s="8">
        <v>0.39</v>
      </c>
      <c r="S11" s="7">
        <v>803</v>
      </c>
      <c r="T11" s="7">
        <v>793</v>
      </c>
      <c r="U11" s="7">
        <v>10</v>
      </c>
      <c r="V11" s="7">
        <v>2</v>
      </c>
      <c r="W11" s="7">
        <v>652</v>
      </c>
      <c r="X11" s="7">
        <v>677</v>
      </c>
      <c r="Y11" s="7">
        <v>1754</v>
      </c>
      <c r="Z11" s="7">
        <v>1960</v>
      </c>
      <c r="AA11" s="7">
        <v>31606</v>
      </c>
      <c r="AB11" s="7">
        <v>26577</v>
      </c>
      <c r="AC11" s="7">
        <v>793</v>
      </c>
      <c r="AD11" s="7">
        <v>803</v>
      </c>
      <c r="AE11" s="7">
        <v>792</v>
      </c>
      <c r="AF11" s="7">
        <v>800</v>
      </c>
    </row>
    <row r="12" spans="1:32">
      <c r="A12" s="11">
        <v>130</v>
      </c>
      <c r="B12" s="11" t="s">
        <v>85</v>
      </c>
      <c r="C12" s="2" t="s">
        <v>86</v>
      </c>
      <c r="D12" s="2" t="s">
        <v>87</v>
      </c>
      <c r="E12" t="s">
        <v>44</v>
      </c>
      <c r="F12" t="s">
        <v>45</v>
      </c>
      <c r="G12" s="2" t="s">
        <v>6</v>
      </c>
      <c r="H12" s="5">
        <v>46273.595354942103</v>
      </c>
      <c r="I12" s="2">
        <v>65.83</v>
      </c>
      <c r="J12" s="2" t="s">
        <v>48</v>
      </c>
      <c r="K12" s="6">
        <v>26.2</v>
      </c>
      <c r="L12" s="6">
        <v>154.6</v>
      </c>
      <c r="M12" s="6">
        <v>149</v>
      </c>
      <c r="N12" s="7">
        <v>250</v>
      </c>
      <c r="O12" s="7">
        <v>1000</v>
      </c>
      <c r="P12" s="7">
        <v>3420</v>
      </c>
      <c r="Q12" s="7">
        <v>2900</v>
      </c>
      <c r="R12" s="8">
        <v>0.37</v>
      </c>
      <c r="S12" s="7">
        <v>779</v>
      </c>
      <c r="T12" s="7">
        <v>820</v>
      </c>
      <c r="U12" s="7">
        <v>6</v>
      </c>
      <c r="V12" s="7">
        <v>2</v>
      </c>
      <c r="W12" s="7">
        <v>654</v>
      </c>
      <c r="X12" s="7">
        <v>668</v>
      </c>
      <c r="Y12" s="7">
        <v>2058</v>
      </c>
      <c r="Z12" s="7">
        <v>1755</v>
      </c>
      <c r="AA12" s="7">
        <v>29243</v>
      </c>
      <c r="AB12" s="7">
        <v>33195</v>
      </c>
      <c r="AC12" s="7">
        <v>820</v>
      </c>
      <c r="AD12" s="7">
        <v>779</v>
      </c>
      <c r="AE12" s="7">
        <v>816</v>
      </c>
      <c r="AF12" s="7">
        <v>778</v>
      </c>
    </row>
    <row r="13" spans="1:32">
      <c r="A13" s="11">
        <v>126</v>
      </c>
      <c r="B13" s="11" t="s">
        <v>88</v>
      </c>
      <c r="C13" s="2" t="s">
        <v>70</v>
      </c>
      <c r="D13" s="2" t="s">
        <v>71</v>
      </c>
      <c r="E13" t="s">
        <v>44</v>
      </c>
      <c r="F13" t="s">
        <v>45</v>
      </c>
      <c r="G13" s="2" t="s">
        <v>6</v>
      </c>
      <c r="H13" s="5">
        <v>46273.590761076397</v>
      </c>
      <c r="I13" s="2">
        <v>66.05</v>
      </c>
      <c r="J13" s="2" t="s">
        <v>46</v>
      </c>
      <c r="K13" s="6">
        <v>24.3</v>
      </c>
      <c r="L13" s="6">
        <v>175.7</v>
      </c>
      <c r="M13" s="6">
        <v>143.30000000000001</v>
      </c>
      <c r="N13" s="7">
        <v>750</v>
      </c>
      <c r="O13" s="7">
        <v>0</v>
      </c>
      <c r="P13" s="7">
        <v>2063</v>
      </c>
      <c r="Q13" s="7">
        <v>1705</v>
      </c>
      <c r="R13" s="8">
        <v>0.33</v>
      </c>
      <c r="S13" s="7">
        <v>667</v>
      </c>
      <c r="T13" s="7">
        <v>783</v>
      </c>
      <c r="U13" s="7">
        <v>6</v>
      </c>
      <c r="V13" s="7">
        <v>2</v>
      </c>
      <c r="W13" s="7">
        <v>698</v>
      </c>
      <c r="X13" s="7">
        <v>587</v>
      </c>
      <c r="Y13" s="7">
        <v>1204</v>
      </c>
      <c r="Z13" s="7">
        <v>1095</v>
      </c>
      <c r="AA13" s="7">
        <v>11407</v>
      </c>
      <c r="AB13" s="7">
        <v>14685</v>
      </c>
      <c r="AC13" s="7">
        <v>783</v>
      </c>
      <c r="AD13" s="7">
        <v>667</v>
      </c>
      <c r="AE13" s="7">
        <v>779</v>
      </c>
      <c r="AF13" s="7">
        <v>665</v>
      </c>
    </row>
    <row r="14" spans="1:32">
      <c r="A14" s="11">
        <v>126</v>
      </c>
      <c r="B14" s="11" t="s">
        <v>88</v>
      </c>
      <c r="C14" s="2" t="s">
        <v>70</v>
      </c>
      <c r="D14" s="2" t="s">
        <v>71</v>
      </c>
      <c r="E14" t="s">
        <v>44</v>
      </c>
      <c r="F14" t="s">
        <v>45</v>
      </c>
      <c r="G14" s="2" t="s">
        <v>6</v>
      </c>
      <c r="H14" s="5">
        <v>46273.590761076397</v>
      </c>
      <c r="I14" s="2">
        <v>66.05</v>
      </c>
      <c r="J14" s="2" t="s">
        <v>47</v>
      </c>
      <c r="K14" s="6">
        <v>22.1</v>
      </c>
      <c r="L14" s="6">
        <v>171</v>
      </c>
      <c r="M14" s="6">
        <v>136</v>
      </c>
      <c r="N14" s="7">
        <v>0</v>
      </c>
      <c r="O14" s="7">
        <v>0</v>
      </c>
      <c r="P14" s="7">
        <v>2452</v>
      </c>
      <c r="Q14" s="7">
        <v>1736</v>
      </c>
      <c r="R14" s="8">
        <v>0.31</v>
      </c>
      <c r="S14" s="7">
        <v>680</v>
      </c>
      <c r="T14" s="7">
        <v>790</v>
      </c>
      <c r="U14" s="7">
        <v>6</v>
      </c>
      <c r="V14" s="7">
        <v>0</v>
      </c>
      <c r="W14" s="7">
        <v>698</v>
      </c>
      <c r="X14" s="7">
        <v>577</v>
      </c>
      <c r="Y14" s="7">
        <v>898</v>
      </c>
      <c r="Z14" s="7">
        <v>1177</v>
      </c>
      <c r="AA14" s="7">
        <v>13078</v>
      </c>
      <c r="AB14" s="7">
        <v>9980</v>
      </c>
      <c r="AC14" s="7">
        <v>789</v>
      </c>
      <c r="AD14" s="7">
        <v>665</v>
      </c>
      <c r="AE14" s="7">
        <v>790</v>
      </c>
      <c r="AF14" s="7">
        <v>680</v>
      </c>
    </row>
    <row r="15" spans="1:32">
      <c r="A15" s="11">
        <v>126</v>
      </c>
      <c r="B15" s="11" t="s">
        <v>88</v>
      </c>
      <c r="C15" s="2" t="s">
        <v>70</v>
      </c>
      <c r="D15" s="2" t="s">
        <v>71</v>
      </c>
      <c r="E15" t="s">
        <v>44</v>
      </c>
      <c r="F15" t="s">
        <v>45</v>
      </c>
      <c r="G15" s="2" t="s">
        <v>6</v>
      </c>
      <c r="H15" s="5">
        <v>46273.590761076397</v>
      </c>
      <c r="I15" s="2">
        <v>66.05</v>
      </c>
      <c r="J15" s="2" t="s">
        <v>48</v>
      </c>
      <c r="K15" s="6">
        <v>22.9</v>
      </c>
      <c r="L15" s="6">
        <v>173.2</v>
      </c>
      <c r="M15" s="6">
        <v>132</v>
      </c>
      <c r="N15" s="7">
        <v>3000</v>
      </c>
      <c r="O15" s="7">
        <v>-1000</v>
      </c>
      <c r="P15" s="7">
        <v>2844</v>
      </c>
      <c r="Q15" s="7">
        <v>1741</v>
      </c>
      <c r="R15" s="8">
        <v>0.33</v>
      </c>
      <c r="S15" s="7">
        <v>673</v>
      </c>
      <c r="T15" s="7">
        <v>821</v>
      </c>
      <c r="U15" s="7">
        <v>2</v>
      </c>
      <c r="V15" s="7">
        <v>0</v>
      </c>
      <c r="W15" s="7">
        <v>727</v>
      </c>
      <c r="X15" s="7">
        <v>578</v>
      </c>
      <c r="Y15" s="7">
        <v>1301</v>
      </c>
      <c r="Z15" s="7">
        <v>834</v>
      </c>
      <c r="AA15" s="7">
        <v>7723</v>
      </c>
      <c r="AB15" s="7">
        <v>15490</v>
      </c>
      <c r="AC15" s="7">
        <v>821</v>
      </c>
      <c r="AD15" s="7">
        <v>665</v>
      </c>
      <c r="AE15" s="7">
        <v>816</v>
      </c>
      <c r="AF15" s="7">
        <v>673</v>
      </c>
    </row>
    <row r="16" spans="1:32">
      <c r="A16" s="11">
        <v>126</v>
      </c>
      <c r="B16" s="11" t="s">
        <v>88</v>
      </c>
      <c r="C16" s="2" t="s">
        <v>70</v>
      </c>
      <c r="D16" s="2" t="s">
        <v>71</v>
      </c>
      <c r="E16" t="s">
        <v>44</v>
      </c>
      <c r="F16" t="s">
        <v>45</v>
      </c>
      <c r="G16" s="2" t="s">
        <v>6</v>
      </c>
      <c r="H16" s="5">
        <v>46273.590761076397</v>
      </c>
      <c r="I16" s="2">
        <v>66.05</v>
      </c>
      <c r="J16" s="2" t="s">
        <v>89</v>
      </c>
      <c r="K16" s="6">
        <v>22.8</v>
      </c>
      <c r="L16" s="6">
        <v>163.6</v>
      </c>
      <c r="M16" s="6">
        <v>134.69999999999999</v>
      </c>
      <c r="N16" s="7">
        <v>-500</v>
      </c>
      <c r="O16" s="7">
        <v>1000</v>
      </c>
      <c r="P16" s="7">
        <v>2287</v>
      </c>
      <c r="Q16" s="7">
        <v>1813</v>
      </c>
      <c r="R16" s="8">
        <v>0.31</v>
      </c>
      <c r="S16" s="7">
        <v>725</v>
      </c>
      <c r="T16" s="7">
        <v>813</v>
      </c>
      <c r="U16" s="7">
        <v>8</v>
      </c>
      <c r="V16" s="7">
        <v>2</v>
      </c>
      <c r="W16" s="7">
        <v>699</v>
      </c>
      <c r="X16" s="7">
        <v>577</v>
      </c>
      <c r="Y16" s="7">
        <v>1350</v>
      </c>
      <c r="Z16" s="7">
        <v>940</v>
      </c>
      <c r="AA16" s="7">
        <v>8546</v>
      </c>
      <c r="AB16" s="7">
        <v>16877</v>
      </c>
      <c r="AC16" s="7">
        <v>813</v>
      </c>
      <c r="AD16" s="7">
        <v>722</v>
      </c>
      <c r="AE16" s="7">
        <v>813</v>
      </c>
      <c r="AF16" s="7">
        <v>725</v>
      </c>
    </row>
    <row r="17" spans="1:32">
      <c r="A17" s="11">
        <v>125</v>
      </c>
      <c r="B17" s="11" t="s">
        <v>72</v>
      </c>
      <c r="C17" s="2" t="s">
        <v>73</v>
      </c>
      <c r="D17" s="2" t="s">
        <v>74</v>
      </c>
      <c r="E17" t="s">
        <v>44</v>
      </c>
      <c r="F17" t="s">
        <v>45</v>
      </c>
      <c r="G17" s="2" t="s">
        <v>6</v>
      </c>
      <c r="H17" s="5">
        <v>46273.590691550897</v>
      </c>
      <c r="I17" s="2">
        <v>60.02</v>
      </c>
      <c r="J17" s="2" t="s">
        <v>46</v>
      </c>
      <c r="K17" s="6">
        <v>29.8</v>
      </c>
      <c r="L17" s="6">
        <v>136.5</v>
      </c>
      <c r="M17" s="6">
        <v>147.30000000000001</v>
      </c>
      <c r="N17" s="7">
        <v>0</v>
      </c>
      <c r="O17" s="7">
        <v>0</v>
      </c>
      <c r="P17" s="7">
        <v>2210</v>
      </c>
      <c r="Q17" s="7">
        <v>2086</v>
      </c>
      <c r="R17" s="8">
        <v>0.44</v>
      </c>
      <c r="S17" s="7">
        <v>778</v>
      </c>
      <c r="T17" s="7">
        <v>728</v>
      </c>
      <c r="U17" s="7">
        <v>0</v>
      </c>
      <c r="V17" s="7">
        <v>2</v>
      </c>
      <c r="W17" s="7">
        <v>604</v>
      </c>
      <c r="X17" s="7">
        <v>672</v>
      </c>
      <c r="Y17" s="7">
        <v>1711</v>
      </c>
      <c r="Z17" s="7">
        <v>1681</v>
      </c>
      <c r="AA17" s="7">
        <v>24008</v>
      </c>
      <c r="AB17" s="7">
        <v>28524</v>
      </c>
      <c r="AC17" s="7">
        <v>727</v>
      </c>
      <c r="AD17" s="7">
        <v>778</v>
      </c>
      <c r="AE17" s="7">
        <v>728</v>
      </c>
      <c r="AF17" s="7">
        <v>778</v>
      </c>
    </row>
    <row r="18" spans="1:32">
      <c r="A18" s="11">
        <v>125</v>
      </c>
      <c r="B18" s="11" t="s">
        <v>72</v>
      </c>
      <c r="C18" s="2" t="s">
        <v>73</v>
      </c>
      <c r="D18" s="2" t="s">
        <v>74</v>
      </c>
      <c r="E18" t="s">
        <v>44</v>
      </c>
      <c r="F18" t="s">
        <v>45</v>
      </c>
      <c r="G18" s="2" t="s">
        <v>6</v>
      </c>
      <c r="H18" s="5">
        <v>46273.590691550897</v>
      </c>
      <c r="I18" s="2">
        <v>60.02</v>
      </c>
      <c r="J18" s="2" t="s">
        <v>47</v>
      </c>
      <c r="K18" s="6">
        <v>29.8</v>
      </c>
      <c r="L18" s="6">
        <v>134.9</v>
      </c>
      <c r="M18" s="6">
        <v>146.30000000000001</v>
      </c>
      <c r="N18" s="7">
        <v>500</v>
      </c>
      <c r="O18" s="7">
        <v>-100</v>
      </c>
      <c r="P18" s="7">
        <v>2353</v>
      </c>
      <c r="Q18" s="7">
        <v>2301</v>
      </c>
      <c r="R18" s="8">
        <v>0.46</v>
      </c>
      <c r="S18" s="7">
        <v>802</v>
      </c>
      <c r="T18" s="7">
        <v>709</v>
      </c>
      <c r="U18" s="7">
        <v>10</v>
      </c>
      <c r="V18" s="7">
        <v>6</v>
      </c>
      <c r="W18" s="7">
        <v>621</v>
      </c>
      <c r="X18" s="7">
        <v>670</v>
      </c>
      <c r="Y18" s="7">
        <v>1291</v>
      </c>
      <c r="Z18" s="7">
        <v>1154</v>
      </c>
      <c r="AA18" s="7">
        <v>15588</v>
      </c>
      <c r="AB18" s="7">
        <v>21524</v>
      </c>
      <c r="AC18" s="7">
        <v>709</v>
      </c>
      <c r="AD18" s="7">
        <v>802</v>
      </c>
      <c r="AE18" s="7">
        <v>704</v>
      </c>
      <c r="AF18" s="7">
        <v>801</v>
      </c>
    </row>
    <row r="19" spans="1:32">
      <c r="A19" s="11">
        <v>125</v>
      </c>
      <c r="B19" s="11" t="s">
        <v>72</v>
      </c>
      <c r="C19" s="2" t="s">
        <v>73</v>
      </c>
      <c r="D19" s="2" t="s">
        <v>74</v>
      </c>
      <c r="E19" t="s">
        <v>44</v>
      </c>
      <c r="F19" t="s">
        <v>45</v>
      </c>
      <c r="G19" s="2" t="s">
        <v>6</v>
      </c>
      <c r="H19" s="5">
        <v>46273.590691550897</v>
      </c>
      <c r="I19" s="2">
        <v>60.02</v>
      </c>
      <c r="J19" s="2" t="s">
        <v>48</v>
      </c>
      <c r="K19" s="6">
        <v>29.4</v>
      </c>
      <c r="L19" s="6">
        <v>125.4</v>
      </c>
      <c r="M19" s="6">
        <v>148.1</v>
      </c>
      <c r="N19" s="7">
        <v>-1000</v>
      </c>
      <c r="O19" s="7">
        <v>2500</v>
      </c>
      <c r="P19" s="7">
        <v>2485</v>
      </c>
      <c r="Q19" s="7">
        <v>2975</v>
      </c>
      <c r="R19" s="8">
        <v>0.48</v>
      </c>
      <c r="S19" s="7">
        <v>819</v>
      </c>
      <c r="T19" s="7">
        <v>724</v>
      </c>
      <c r="U19" s="7">
        <v>0</v>
      </c>
      <c r="V19" s="7">
        <v>2</v>
      </c>
      <c r="W19" s="7">
        <v>629</v>
      </c>
      <c r="X19" s="7">
        <v>739</v>
      </c>
      <c r="Y19" s="7">
        <v>1485</v>
      </c>
      <c r="Z19" s="7">
        <v>1554</v>
      </c>
      <c r="AA19" s="7">
        <v>31071</v>
      </c>
      <c r="AB19" s="7">
        <v>28566</v>
      </c>
      <c r="AC19" s="7">
        <v>724</v>
      </c>
      <c r="AD19" s="7">
        <v>819</v>
      </c>
      <c r="AE19" s="7">
        <v>724</v>
      </c>
      <c r="AF19" s="7">
        <v>816</v>
      </c>
    </row>
    <row r="20" spans="1:32">
      <c r="A20" s="11">
        <v>134</v>
      </c>
      <c r="B20" s="11" t="s">
        <v>75</v>
      </c>
      <c r="C20" s="2" t="s">
        <v>76</v>
      </c>
      <c r="D20" s="2" t="s">
        <v>77</v>
      </c>
      <c r="E20" t="s">
        <v>44</v>
      </c>
      <c r="F20" t="s">
        <v>45</v>
      </c>
      <c r="G20" s="2" t="s">
        <v>6</v>
      </c>
      <c r="H20" s="5">
        <v>46273.588526469903</v>
      </c>
      <c r="I20" s="2">
        <v>85.27</v>
      </c>
      <c r="J20" s="2" t="s">
        <v>46</v>
      </c>
      <c r="K20" s="6">
        <v>28.7</v>
      </c>
      <c r="L20" s="6">
        <v>210.7</v>
      </c>
      <c r="M20" s="6">
        <v>206.1</v>
      </c>
      <c r="N20" s="7">
        <v>0</v>
      </c>
      <c r="O20" s="7">
        <v>1500</v>
      </c>
      <c r="P20" s="7">
        <v>3457</v>
      </c>
      <c r="Q20" s="7">
        <v>3286</v>
      </c>
      <c r="R20" s="8">
        <v>0.4</v>
      </c>
      <c r="S20" s="7">
        <v>977</v>
      </c>
      <c r="T20" s="7">
        <v>1099</v>
      </c>
      <c r="U20" s="7">
        <v>0</v>
      </c>
      <c r="V20" s="7">
        <v>2</v>
      </c>
      <c r="W20" s="7">
        <v>871</v>
      </c>
      <c r="X20" s="7">
        <v>870</v>
      </c>
      <c r="Y20" s="7">
        <v>1714</v>
      </c>
      <c r="Z20" s="7">
        <v>1576</v>
      </c>
      <c r="AA20" s="7">
        <v>18762</v>
      </c>
      <c r="AB20" s="7">
        <v>19932</v>
      </c>
      <c r="AC20" s="7">
        <v>1098</v>
      </c>
      <c r="AD20" s="7">
        <v>977</v>
      </c>
      <c r="AE20" s="7">
        <v>1099</v>
      </c>
      <c r="AF20" s="7">
        <v>976</v>
      </c>
    </row>
    <row r="21" spans="1:32">
      <c r="A21" s="11">
        <v>134</v>
      </c>
      <c r="B21" s="11" t="s">
        <v>75</v>
      </c>
      <c r="C21" s="2" t="s">
        <v>76</v>
      </c>
      <c r="D21" s="2" t="s">
        <v>77</v>
      </c>
      <c r="E21" t="s">
        <v>44</v>
      </c>
      <c r="F21" t="s">
        <v>45</v>
      </c>
      <c r="G21" s="2" t="s">
        <v>6</v>
      </c>
      <c r="H21" s="5">
        <v>46273.588526469903</v>
      </c>
      <c r="I21" s="2">
        <v>85.27</v>
      </c>
      <c r="J21" s="2" t="s">
        <v>47</v>
      </c>
      <c r="K21" s="6">
        <v>28.1</v>
      </c>
      <c r="L21" s="6">
        <v>210.5</v>
      </c>
      <c r="M21" s="6">
        <v>210.4</v>
      </c>
      <c r="N21" s="7">
        <v>0</v>
      </c>
      <c r="O21" s="7">
        <v>0</v>
      </c>
      <c r="P21" s="7">
        <v>3832</v>
      </c>
      <c r="Q21" s="7">
        <v>4254</v>
      </c>
      <c r="R21" s="8">
        <v>0.38</v>
      </c>
      <c r="S21" s="7">
        <v>1077</v>
      </c>
      <c r="T21" s="7">
        <v>1098</v>
      </c>
      <c r="U21" s="7">
        <v>0</v>
      </c>
      <c r="V21" s="7">
        <v>0</v>
      </c>
      <c r="W21" s="7">
        <v>864</v>
      </c>
      <c r="X21" s="7">
        <v>849</v>
      </c>
      <c r="Y21" s="7">
        <v>1629</v>
      </c>
      <c r="Z21" s="7">
        <v>1274</v>
      </c>
      <c r="AA21" s="7">
        <v>14156</v>
      </c>
      <c r="AB21" s="7">
        <v>21436</v>
      </c>
      <c r="AC21" s="7">
        <v>1044</v>
      </c>
      <c r="AD21" s="7">
        <v>1055</v>
      </c>
      <c r="AE21" s="7">
        <v>1098</v>
      </c>
      <c r="AF21" s="7">
        <v>1077</v>
      </c>
    </row>
    <row r="22" spans="1:32">
      <c r="A22" s="11">
        <v>134</v>
      </c>
      <c r="B22" s="11" t="s">
        <v>75</v>
      </c>
      <c r="C22" s="2" t="s">
        <v>76</v>
      </c>
      <c r="D22" s="2" t="s">
        <v>77</v>
      </c>
      <c r="E22" t="s">
        <v>44</v>
      </c>
      <c r="F22" t="s">
        <v>45</v>
      </c>
      <c r="G22" s="2" t="s">
        <v>6</v>
      </c>
      <c r="H22" s="5">
        <v>46273.588526469903</v>
      </c>
      <c r="I22" s="2">
        <v>85.27</v>
      </c>
      <c r="J22" s="2" t="s">
        <v>48</v>
      </c>
      <c r="K22" s="6">
        <v>28.4</v>
      </c>
      <c r="L22" s="6">
        <v>207.7</v>
      </c>
      <c r="M22" s="6">
        <v>210</v>
      </c>
      <c r="N22" s="7">
        <v>0</v>
      </c>
      <c r="O22" s="7">
        <v>0</v>
      </c>
      <c r="P22" s="7">
        <v>3844</v>
      </c>
      <c r="Q22" s="7">
        <v>4325</v>
      </c>
      <c r="R22" s="8">
        <v>0.39</v>
      </c>
      <c r="S22" s="7">
        <v>1062</v>
      </c>
      <c r="T22" s="7">
        <v>1147</v>
      </c>
      <c r="U22" s="7">
        <v>0</v>
      </c>
      <c r="V22" s="7">
        <v>0</v>
      </c>
      <c r="W22" s="7">
        <v>841</v>
      </c>
      <c r="X22" s="7">
        <v>868</v>
      </c>
      <c r="Y22" s="7">
        <v>1579</v>
      </c>
      <c r="Z22" s="7">
        <v>1712</v>
      </c>
      <c r="AA22" s="7">
        <v>25940</v>
      </c>
      <c r="AB22" s="7">
        <v>20246</v>
      </c>
      <c r="AC22" s="7">
        <v>1111</v>
      </c>
      <c r="AD22" s="7">
        <v>1051</v>
      </c>
      <c r="AE22" s="7">
        <v>1147</v>
      </c>
      <c r="AF22" s="7">
        <v>1062</v>
      </c>
    </row>
    <row r="23" spans="1:32">
      <c r="A23" s="11">
        <v>112</v>
      </c>
      <c r="B23" s="11" t="s">
        <v>79</v>
      </c>
      <c r="C23" s="2" t="s">
        <v>80</v>
      </c>
      <c r="D23" s="2" t="s">
        <v>81</v>
      </c>
      <c r="E23" t="s">
        <v>44</v>
      </c>
      <c r="F23" t="s">
        <v>45</v>
      </c>
      <c r="G23" s="2" t="s">
        <v>6</v>
      </c>
      <c r="H23" s="5">
        <v>46273.588382094902</v>
      </c>
      <c r="I23" s="2">
        <v>80.03</v>
      </c>
      <c r="J23" s="2" t="s">
        <v>46</v>
      </c>
      <c r="K23" s="6">
        <v>26.7</v>
      </c>
      <c r="L23" s="6">
        <v>209</v>
      </c>
      <c r="M23" s="6">
        <v>177.4</v>
      </c>
      <c r="N23" s="7">
        <v>0</v>
      </c>
      <c r="O23" s="7">
        <v>250</v>
      </c>
      <c r="P23" s="7">
        <v>3303</v>
      </c>
      <c r="Q23" s="7">
        <v>3155</v>
      </c>
      <c r="R23" s="8">
        <v>0.37</v>
      </c>
      <c r="S23" s="7">
        <v>846</v>
      </c>
      <c r="T23" s="7">
        <v>1038</v>
      </c>
      <c r="U23" s="7">
        <v>0</v>
      </c>
      <c r="V23" s="7">
        <v>4</v>
      </c>
      <c r="W23" s="7">
        <v>848</v>
      </c>
      <c r="X23" s="7">
        <v>750</v>
      </c>
      <c r="Y23" s="7">
        <v>1411</v>
      </c>
      <c r="Z23" s="7">
        <v>2346</v>
      </c>
      <c r="AA23" s="7">
        <v>68986</v>
      </c>
      <c r="AB23" s="7">
        <v>35286</v>
      </c>
      <c r="AC23" s="7">
        <v>1038</v>
      </c>
      <c r="AD23" s="7">
        <v>841</v>
      </c>
      <c r="AE23" s="7">
        <v>1038</v>
      </c>
      <c r="AF23" s="7">
        <v>846</v>
      </c>
    </row>
    <row r="24" spans="1:32">
      <c r="A24" s="11">
        <v>112</v>
      </c>
      <c r="B24" s="11" t="s">
        <v>79</v>
      </c>
      <c r="C24" s="2" t="s">
        <v>80</v>
      </c>
      <c r="D24" s="2" t="s">
        <v>81</v>
      </c>
      <c r="E24" t="s">
        <v>44</v>
      </c>
      <c r="F24" t="s">
        <v>45</v>
      </c>
      <c r="G24" s="2" t="s">
        <v>6</v>
      </c>
      <c r="H24" s="5">
        <v>46273.588382094902</v>
      </c>
      <c r="I24" s="2">
        <v>80.03</v>
      </c>
      <c r="J24" s="2" t="s">
        <v>47</v>
      </c>
      <c r="K24" s="6">
        <v>26.1</v>
      </c>
      <c r="L24" s="6">
        <v>217</v>
      </c>
      <c r="M24" s="6">
        <v>177.7</v>
      </c>
      <c r="N24" s="7">
        <v>0</v>
      </c>
      <c r="O24" s="7">
        <v>1000</v>
      </c>
      <c r="P24" s="7">
        <v>3496</v>
      </c>
      <c r="Q24" s="7">
        <v>2685</v>
      </c>
      <c r="R24" s="8">
        <v>0.35</v>
      </c>
      <c r="S24" s="7">
        <v>810</v>
      </c>
      <c r="T24" s="7">
        <v>1016</v>
      </c>
      <c r="U24" s="7">
        <v>0</v>
      </c>
      <c r="V24" s="7">
        <v>2</v>
      </c>
      <c r="W24" s="7">
        <v>818</v>
      </c>
      <c r="X24" s="7">
        <v>711</v>
      </c>
      <c r="Y24" s="7">
        <v>1336</v>
      </c>
      <c r="Z24" s="7">
        <v>2116</v>
      </c>
      <c r="AA24" s="7">
        <v>55672</v>
      </c>
      <c r="AB24" s="7">
        <v>27843</v>
      </c>
      <c r="AC24" s="7">
        <v>1013</v>
      </c>
      <c r="AD24" s="7">
        <v>810</v>
      </c>
      <c r="AE24" s="7">
        <v>1016</v>
      </c>
      <c r="AF24" s="7">
        <v>808</v>
      </c>
    </row>
    <row r="25" spans="1:32">
      <c r="A25" s="11">
        <v>112</v>
      </c>
      <c r="B25" s="11" t="s">
        <v>79</v>
      </c>
      <c r="C25" s="2" t="s">
        <v>80</v>
      </c>
      <c r="D25" s="2" t="s">
        <v>81</v>
      </c>
      <c r="E25" t="s">
        <v>44</v>
      </c>
      <c r="F25" t="s">
        <v>45</v>
      </c>
      <c r="G25" s="2" t="s">
        <v>6</v>
      </c>
      <c r="H25" s="5">
        <v>46273.588382094902</v>
      </c>
      <c r="I25" s="2">
        <v>80.03</v>
      </c>
      <c r="J25" s="2" t="s">
        <v>48</v>
      </c>
      <c r="K25" s="6">
        <v>25.8</v>
      </c>
      <c r="L25" s="6">
        <v>206.6</v>
      </c>
      <c r="M25" s="6">
        <v>182.3</v>
      </c>
      <c r="N25" s="7">
        <v>0</v>
      </c>
      <c r="O25" s="7">
        <v>0</v>
      </c>
      <c r="P25" s="7">
        <v>3105</v>
      </c>
      <c r="Q25" s="7">
        <v>2436</v>
      </c>
      <c r="R25" s="8">
        <v>0.35</v>
      </c>
      <c r="S25" s="7">
        <v>834</v>
      </c>
      <c r="T25" s="7">
        <v>969</v>
      </c>
      <c r="U25" s="7">
        <v>0</v>
      </c>
      <c r="V25" s="7">
        <v>2</v>
      </c>
      <c r="W25" s="7">
        <v>824</v>
      </c>
      <c r="X25" s="7">
        <v>743</v>
      </c>
      <c r="Y25" s="7">
        <v>1573</v>
      </c>
      <c r="Z25" s="7">
        <v>1857</v>
      </c>
      <c r="AA25" s="7">
        <v>48856</v>
      </c>
      <c r="AB25" s="7">
        <v>43707</v>
      </c>
      <c r="AC25" s="7">
        <v>961</v>
      </c>
      <c r="AD25" s="7">
        <v>826</v>
      </c>
      <c r="AE25" s="7">
        <v>969</v>
      </c>
      <c r="AF25" s="7">
        <v>834</v>
      </c>
    </row>
    <row r="26" spans="1:32">
      <c r="A26" s="11">
        <v>117</v>
      </c>
      <c r="B26" s="11" t="s">
        <v>52</v>
      </c>
      <c r="C26" s="2" t="s">
        <v>53</v>
      </c>
      <c r="D26" s="2" t="s">
        <v>54</v>
      </c>
      <c r="E26" t="s">
        <v>44</v>
      </c>
      <c r="F26" t="s">
        <v>45</v>
      </c>
      <c r="G26" s="2" t="s">
        <v>6</v>
      </c>
      <c r="H26" s="5">
        <v>46273.597526585603</v>
      </c>
      <c r="I26" s="2">
        <v>84.97</v>
      </c>
      <c r="J26" s="2" t="s">
        <v>46</v>
      </c>
      <c r="K26" s="6">
        <v>25.9</v>
      </c>
      <c r="L26" s="6">
        <v>223.3</v>
      </c>
      <c r="M26" s="6">
        <v>211.4</v>
      </c>
      <c r="N26" s="7">
        <v>0</v>
      </c>
      <c r="O26" s="7">
        <v>0</v>
      </c>
      <c r="P26" s="7">
        <v>3138</v>
      </c>
      <c r="Q26" s="7">
        <v>2979</v>
      </c>
      <c r="R26" s="8">
        <v>0.35</v>
      </c>
      <c r="S26" s="7">
        <v>926</v>
      </c>
      <c r="T26" s="7">
        <v>964</v>
      </c>
      <c r="U26" s="7">
        <v>2</v>
      </c>
      <c r="V26" s="7">
        <v>0</v>
      </c>
      <c r="W26" s="7">
        <v>844</v>
      </c>
      <c r="X26" s="7">
        <v>831</v>
      </c>
      <c r="Y26" s="7">
        <v>1346</v>
      </c>
      <c r="Z26" s="7">
        <v>1118</v>
      </c>
      <c r="AA26" s="7">
        <v>15965</v>
      </c>
      <c r="AB26" s="7">
        <v>23208</v>
      </c>
      <c r="AC26" s="7">
        <v>952</v>
      </c>
      <c r="AD26" s="7">
        <v>911</v>
      </c>
      <c r="AE26" s="7">
        <v>964</v>
      </c>
      <c r="AF26" s="7">
        <v>926</v>
      </c>
    </row>
    <row r="27" spans="1:32">
      <c r="A27" s="11">
        <v>117</v>
      </c>
      <c r="B27" s="11" t="s">
        <v>52</v>
      </c>
      <c r="C27" s="2" t="s">
        <v>53</v>
      </c>
      <c r="D27" s="2" t="s">
        <v>54</v>
      </c>
      <c r="E27" t="s">
        <v>44</v>
      </c>
      <c r="F27" t="s">
        <v>45</v>
      </c>
      <c r="G27" s="2" t="s">
        <v>6</v>
      </c>
      <c r="H27" s="5">
        <v>46273.597526585603</v>
      </c>
      <c r="I27" s="2">
        <v>84.97</v>
      </c>
      <c r="J27" s="2" t="s">
        <v>47</v>
      </c>
      <c r="K27" s="6">
        <v>25.7</v>
      </c>
      <c r="L27" s="6">
        <v>226</v>
      </c>
      <c r="M27" s="6">
        <v>215.1</v>
      </c>
      <c r="N27" s="7">
        <v>0</v>
      </c>
      <c r="O27" s="7">
        <v>0</v>
      </c>
      <c r="P27" s="7">
        <v>3492</v>
      </c>
      <c r="Q27" s="7">
        <v>3361</v>
      </c>
      <c r="R27" s="8">
        <v>0.33</v>
      </c>
      <c r="S27" s="7">
        <v>976</v>
      </c>
      <c r="T27" s="7">
        <v>1010</v>
      </c>
      <c r="U27" s="7">
        <v>0</v>
      </c>
      <c r="V27" s="7">
        <v>0</v>
      </c>
      <c r="W27" s="7">
        <v>789</v>
      </c>
      <c r="X27" s="7">
        <v>783</v>
      </c>
      <c r="Y27" s="7">
        <v>1281</v>
      </c>
      <c r="Z27" s="7">
        <v>1373</v>
      </c>
      <c r="AA27" s="7">
        <v>22138</v>
      </c>
      <c r="AB27" s="7">
        <v>17793</v>
      </c>
      <c r="AC27" s="7">
        <v>998</v>
      </c>
      <c r="AD27" s="7">
        <v>968</v>
      </c>
      <c r="AE27" s="7">
        <v>1010</v>
      </c>
      <c r="AF27" s="7">
        <v>976</v>
      </c>
    </row>
    <row r="28" spans="1:32">
      <c r="A28" s="11">
        <v>117</v>
      </c>
      <c r="B28" s="11" t="s">
        <v>52</v>
      </c>
      <c r="C28" s="2" t="s">
        <v>53</v>
      </c>
      <c r="D28" s="2" t="s">
        <v>54</v>
      </c>
      <c r="E28" t="s">
        <v>44</v>
      </c>
      <c r="F28" t="s">
        <v>45</v>
      </c>
      <c r="G28" s="2" t="s">
        <v>6</v>
      </c>
      <c r="H28" s="5">
        <v>46273.59752314815</v>
      </c>
      <c r="I28" s="2">
        <v>84.97</v>
      </c>
      <c r="J28" s="2" t="s">
        <v>48</v>
      </c>
      <c r="K28" s="6">
        <v>25</v>
      </c>
      <c r="L28" s="6">
        <v>224.8</v>
      </c>
      <c r="M28" s="6">
        <v>215.1</v>
      </c>
      <c r="N28" s="7">
        <v>0</v>
      </c>
      <c r="O28" s="7">
        <v>0</v>
      </c>
      <c r="P28" s="7">
        <v>3261</v>
      </c>
      <c r="Q28" s="7">
        <v>3167</v>
      </c>
      <c r="R28" s="8">
        <v>0.33</v>
      </c>
      <c r="S28" s="7">
        <v>947</v>
      </c>
      <c r="T28" s="7">
        <v>954</v>
      </c>
      <c r="U28" s="7">
        <v>0</v>
      </c>
      <c r="V28" s="7">
        <v>0</v>
      </c>
      <c r="W28" s="7">
        <v>816</v>
      </c>
      <c r="X28" s="7">
        <v>821</v>
      </c>
      <c r="Y28" s="7">
        <v>1122</v>
      </c>
      <c r="Z28" s="7">
        <v>1199</v>
      </c>
      <c r="AA28" s="7">
        <v>16197</v>
      </c>
      <c r="AB28" s="7">
        <v>17001</v>
      </c>
      <c r="AC28" s="7">
        <v>951</v>
      </c>
      <c r="AD28" s="7">
        <v>929</v>
      </c>
      <c r="AE28" s="7">
        <v>954</v>
      </c>
      <c r="AF28" s="7">
        <v>947</v>
      </c>
    </row>
    <row r="29" spans="1:32">
      <c r="A29" s="11">
        <v>131</v>
      </c>
      <c r="B29" s="11" t="s">
        <v>41</v>
      </c>
      <c r="C29" s="2" t="s">
        <v>42</v>
      </c>
      <c r="D29" s="2" t="s">
        <v>43</v>
      </c>
      <c r="E29" t="s">
        <v>44</v>
      </c>
      <c r="F29" t="s">
        <v>45</v>
      </c>
      <c r="G29" s="2" t="s">
        <v>6</v>
      </c>
      <c r="H29" s="5">
        <v>46273.596600775498</v>
      </c>
      <c r="I29" s="2">
        <v>76.75</v>
      </c>
      <c r="J29" s="2" t="s">
        <v>46</v>
      </c>
      <c r="K29" s="6">
        <v>29.7</v>
      </c>
      <c r="L29" s="6">
        <v>178.5</v>
      </c>
      <c r="M29" s="6">
        <v>184</v>
      </c>
      <c r="N29" s="7">
        <v>11</v>
      </c>
      <c r="O29" s="7">
        <v>722</v>
      </c>
      <c r="P29" s="7">
        <v>2107</v>
      </c>
      <c r="Q29" s="7">
        <v>1803</v>
      </c>
      <c r="R29" s="8">
        <v>0.41</v>
      </c>
      <c r="S29" s="7">
        <v>922</v>
      </c>
      <c r="T29" s="7">
        <v>893</v>
      </c>
      <c r="U29" s="7">
        <v>12</v>
      </c>
      <c r="V29" s="7">
        <v>100</v>
      </c>
      <c r="W29" s="7">
        <v>827</v>
      </c>
      <c r="X29" s="7">
        <v>841</v>
      </c>
      <c r="Y29" s="7">
        <v>1604</v>
      </c>
      <c r="Z29" s="7">
        <v>1633</v>
      </c>
      <c r="AA29" s="7">
        <v>24743</v>
      </c>
      <c r="AB29" s="7">
        <v>25065</v>
      </c>
      <c r="AC29" s="7">
        <v>893</v>
      </c>
      <c r="AD29" s="7">
        <v>922</v>
      </c>
      <c r="AE29" s="7">
        <v>890</v>
      </c>
      <c r="AF29" s="7">
        <v>856</v>
      </c>
    </row>
    <row r="30" spans="1:32">
      <c r="A30" s="11">
        <v>131</v>
      </c>
      <c r="B30" s="11" t="s">
        <v>41</v>
      </c>
      <c r="C30" s="2" t="s">
        <v>42</v>
      </c>
      <c r="D30" s="2" t="s">
        <v>43</v>
      </c>
      <c r="E30" t="s">
        <v>44</v>
      </c>
      <c r="F30" t="s">
        <v>45</v>
      </c>
      <c r="G30" s="2" t="s">
        <v>6</v>
      </c>
      <c r="H30" s="5">
        <v>46273.596600775498</v>
      </c>
      <c r="I30" s="2">
        <v>76.75</v>
      </c>
      <c r="J30" s="2" t="s">
        <v>47</v>
      </c>
      <c r="K30" s="6">
        <v>31.3</v>
      </c>
      <c r="L30" s="6">
        <v>182.4</v>
      </c>
      <c r="M30" s="6">
        <v>188.6</v>
      </c>
      <c r="N30" s="7">
        <v>462</v>
      </c>
      <c r="O30" s="7">
        <v>833</v>
      </c>
      <c r="P30" s="7">
        <v>2236</v>
      </c>
      <c r="Q30" s="7">
        <v>2133</v>
      </c>
      <c r="R30" s="8">
        <v>0.42</v>
      </c>
      <c r="S30" s="7">
        <v>929</v>
      </c>
      <c r="T30" s="7">
        <v>900</v>
      </c>
      <c r="U30" s="7">
        <v>130</v>
      </c>
      <c r="V30" s="7">
        <v>142</v>
      </c>
      <c r="W30" s="7">
        <v>824</v>
      </c>
      <c r="X30" s="7">
        <v>846</v>
      </c>
      <c r="Y30" s="7">
        <v>1183</v>
      </c>
      <c r="Z30" s="7">
        <v>1296</v>
      </c>
      <c r="AA30" s="7">
        <v>18001</v>
      </c>
      <c r="AB30" s="7">
        <v>14429</v>
      </c>
      <c r="AC30" s="7">
        <v>900</v>
      </c>
      <c r="AD30" s="7">
        <v>929</v>
      </c>
      <c r="AE30" s="7">
        <v>843</v>
      </c>
      <c r="AF30" s="7">
        <v>818</v>
      </c>
    </row>
    <row r="31" spans="1:32">
      <c r="A31" s="11">
        <v>131</v>
      </c>
      <c r="B31" s="11" t="s">
        <v>41</v>
      </c>
      <c r="C31" s="2" t="s">
        <v>42</v>
      </c>
      <c r="D31" s="2" t="s">
        <v>43</v>
      </c>
      <c r="E31" t="s">
        <v>44</v>
      </c>
      <c r="F31" t="s">
        <v>45</v>
      </c>
      <c r="G31" s="2" t="s">
        <v>6</v>
      </c>
      <c r="H31" s="5">
        <v>46273.596600775498</v>
      </c>
      <c r="I31" s="2">
        <v>76.75</v>
      </c>
      <c r="J31" s="2" t="s">
        <v>48</v>
      </c>
      <c r="K31" s="6">
        <v>29.1</v>
      </c>
      <c r="L31" s="6">
        <v>176.6</v>
      </c>
      <c r="M31" s="6">
        <v>185.6</v>
      </c>
      <c r="N31" s="7">
        <v>23</v>
      </c>
      <c r="O31" s="7">
        <v>187</v>
      </c>
      <c r="P31" s="7">
        <v>2513</v>
      </c>
      <c r="Q31" s="7">
        <v>2697</v>
      </c>
      <c r="R31" s="8">
        <v>0.42</v>
      </c>
      <c r="S31" s="7">
        <v>907</v>
      </c>
      <c r="T31" s="7">
        <v>870</v>
      </c>
      <c r="U31" s="7">
        <v>28</v>
      </c>
      <c r="V31" s="7">
        <v>132</v>
      </c>
      <c r="W31" s="7">
        <v>794</v>
      </c>
      <c r="X31" s="7">
        <v>835</v>
      </c>
      <c r="Y31" s="7">
        <v>1184</v>
      </c>
      <c r="Z31" s="7">
        <v>1444</v>
      </c>
      <c r="AA31" s="7">
        <v>20056</v>
      </c>
      <c r="AB31" s="7">
        <v>15581</v>
      </c>
      <c r="AC31" s="7">
        <v>870</v>
      </c>
      <c r="AD31" s="7">
        <v>907</v>
      </c>
      <c r="AE31" s="7">
        <v>861</v>
      </c>
      <c r="AF31" s="7">
        <v>883</v>
      </c>
    </row>
    <row r="32" spans="1:32">
      <c r="A32" s="11">
        <v>128</v>
      </c>
      <c r="B32" s="11" t="s">
        <v>67</v>
      </c>
      <c r="C32" s="2" t="s">
        <v>68</v>
      </c>
      <c r="D32" s="2" t="s">
        <v>69</v>
      </c>
      <c r="E32" t="s">
        <v>44</v>
      </c>
      <c r="F32" t="s">
        <v>45</v>
      </c>
      <c r="G32" s="2" t="s">
        <v>6</v>
      </c>
      <c r="H32" s="5">
        <v>46273.593635914403</v>
      </c>
      <c r="I32" s="2">
        <v>63.4</v>
      </c>
      <c r="J32" s="2" t="s">
        <v>46</v>
      </c>
      <c r="K32" s="6">
        <v>31.2</v>
      </c>
      <c r="L32" s="6">
        <v>159.1</v>
      </c>
      <c r="M32" s="6">
        <v>168.7</v>
      </c>
      <c r="N32" s="7">
        <v>0</v>
      </c>
      <c r="O32" s="7">
        <v>0</v>
      </c>
      <c r="P32" s="7">
        <v>2754</v>
      </c>
      <c r="Q32" s="7">
        <v>2680</v>
      </c>
      <c r="R32" s="8">
        <v>0.39</v>
      </c>
      <c r="S32" s="7">
        <v>853</v>
      </c>
      <c r="T32" s="7">
        <v>802</v>
      </c>
      <c r="U32" s="7">
        <v>0</v>
      </c>
      <c r="V32" s="7">
        <v>0</v>
      </c>
      <c r="W32" s="7">
        <v>592</v>
      </c>
      <c r="X32" s="7">
        <v>628</v>
      </c>
      <c r="Y32" s="7">
        <v>1748</v>
      </c>
      <c r="Z32" s="7">
        <v>1539</v>
      </c>
      <c r="AA32" s="7">
        <v>27483</v>
      </c>
      <c r="AB32" s="7">
        <v>32373</v>
      </c>
      <c r="AC32" s="7">
        <v>797</v>
      </c>
      <c r="AD32" s="7">
        <v>819</v>
      </c>
      <c r="AE32" s="7">
        <v>802</v>
      </c>
      <c r="AF32" s="7">
        <v>853</v>
      </c>
    </row>
    <row r="33" spans="1:32">
      <c r="A33" s="11">
        <v>128</v>
      </c>
      <c r="B33" s="11" t="s">
        <v>67</v>
      </c>
      <c r="C33" s="2" t="s">
        <v>68</v>
      </c>
      <c r="D33" s="2" t="s">
        <v>69</v>
      </c>
      <c r="E33" t="s">
        <v>44</v>
      </c>
      <c r="F33" t="s">
        <v>45</v>
      </c>
      <c r="G33" s="2" t="s">
        <v>6</v>
      </c>
      <c r="H33" s="5">
        <v>46273.593635914403</v>
      </c>
      <c r="I33" s="2">
        <v>63.4</v>
      </c>
      <c r="J33" s="2" t="s">
        <v>47</v>
      </c>
      <c r="K33" s="6">
        <v>30.8</v>
      </c>
      <c r="L33" s="6">
        <v>165.1</v>
      </c>
      <c r="M33" s="6">
        <v>163</v>
      </c>
      <c r="N33" s="7">
        <v>0</v>
      </c>
      <c r="O33" s="7">
        <v>0</v>
      </c>
      <c r="P33" s="7">
        <v>2923</v>
      </c>
      <c r="Q33" s="7">
        <v>2902</v>
      </c>
      <c r="R33" s="8">
        <v>0.43</v>
      </c>
      <c r="S33" s="7">
        <v>794</v>
      </c>
      <c r="T33" s="7">
        <v>845</v>
      </c>
      <c r="U33" s="7">
        <v>0</v>
      </c>
      <c r="V33" s="7">
        <v>0</v>
      </c>
      <c r="W33" s="7">
        <v>598</v>
      </c>
      <c r="X33" s="7">
        <v>628</v>
      </c>
      <c r="Y33" s="7">
        <v>1907</v>
      </c>
      <c r="Z33" s="7">
        <v>2224</v>
      </c>
      <c r="AA33" s="7">
        <v>44481</v>
      </c>
      <c r="AB33" s="7">
        <v>32882</v>
      </c>
      <c r="AC33" s="7">
        <v>833</v>
      </c>
      <c r="AD33" s="7">
        <v>763</v>
      </c>
      <c r="AE33" s="7">
        <v>845</v>
      </c>
      <c r="AF33" s="7">
        <v>794</v>
      </c>
    </row>
    <row r="34" spans="1:32">
      <c r="A34" s="11">
        <v>128</v>
      </c>
      <c r="B34" s="11" t="s">
        <v>67</v>
      </c>
      <c r="C34" s="2" t="s">
        <v>68</v>
      </c>
      <c r="D34" s="2" t="s">
        <v>69</v>
      </c>
      <c r="E34" t="s">
        <v>44</v>
      </c>
      <c r="F34" t="s">
        <v>45</v>
      </c>
      <c r="G34" s="2" t="s">
        <v>6</v>
      </c>
      <c r="H34" s="5">
        <v>46273.593635914403</v>
      </c>
      <c r="I34" s="2">
        <v>63.4</v>
      </c>
      <c r="J34" s="2" t="s">
        <v>48</v>
      </c>
      <c r="K34" s="6">
        <v>31.7</v>
      </c>
      <c r="L34" s="6">
        <v>164.3</v>
      </c>
      <c r="M34" s="6">
        <v>161</v>
      </c>
      <c r="N34" s="7">
        <v>0</v>
      </c>
      <c r="O34" s="7">
        <v>0</v>
      </c>
      <c r="P34" s="7">
        <v>3000</v>
      </c>
      <c r="Q34" s="7">
        <v>2621</v>
      </c>
      <c r="R34" s="8">
        <v>0.45</v>
      </c>
      <c r="S34" s="7">
        <v>815</v>
      </c>
      <c r="T34" s="7">
        <v>836</v>
      </c>
      <c r="U34" s="7">
        <v>0</v>
      </c>
      <c r="V34" s="7">
        <v>0</v>
      </c>
      <c r="W34" s="7">
        <v>607</v>
      </c>
      <c r="X34" s="7">
        <v>629</v>
      </c>
      <c r="Y34" s="7">
        <v>1840</v>
      </c>
      <c r="Z34" s="7">
        <v>1821</v>
      </c>
      <c r="AA34" s="7">
        <v>39588</v>
      </c>
      <c r="AB34" s="7">
        <v>38337</v>
      </c>
      <c r="AC34" s="7">
        <v>829</v>
      </c>
      <c r="AD34" s="7">
        <v>774</v>
      </c>
      <c r="AE34" s="7">
        <v>836</v>
      </c>
      <c r="AF34" s="7">
        <v>815</v>
      </c>
    </row>
    <row r="35" spans="1:32">
      <c r="A35" s="11">
        <v>120</v>
      </c>
      <c r="B35" s="11" t="s">
        <v>49</v>
      </c>
      <c r="C35" s="2" t="s">
        <v>50</v>
      </c>
      <c r="D35" s="2" t="s">
        <v>51</v>
      </c>
      <c r="E35" t="s">
        <v>44</v>
      </c>
      <c r="F35" t="s">
        <v>45</v>
      </c>
      <c r="G35" s="2" t="s">
        <v>6</v>
      </c>
      <c r="H35" s="5">
        <v>46273.592372916697</v>
      </c>
      <c r="I35" s="2">
        <v>107.49</v>
      </c>
      <c r="J35" s="2" t="s">
        <v>46</v>
      </c>
      <c r="K35" s="6">
        <v>26.1</v>
      </c>
      <c r="L35" s="6">
        <v>277.8</v>
      </c>
      <c r="M35" s="6">
        <v>299.10000000000002</v>
      </c>
      <c r="N35" s="7">
        <v>0</v>
      </c>
      <c r="O35" s="7">
        <v>0</v>
      </c>
      <c r="P35" s="7">
        <v>4696</v>
      </c>
      <c r="Q35" s="7">
        <v>5216</v>
      </c>
      <c r="R35" s="8">
        <v>0.32</v>
      </c>
      <c r="S35" s="7">
        <v>1531</v>
      </c>
      <c r="T35" s="7">
        <v>1362</v>
      </c>
      <c r="U35" s="7">
        <v>0</v>
      </c>
      <c r="V35" s="7">
        <v>0</v>
      </c>
      <c r="W35" s="7">
        <v>935</v>
      </c>
      <c r="X35" s="7">
        <v>957</v>
      </c>
      <c r="Y35" s="7">
        <v>1089</v>
      </c>
      <c r="Z35" s="7">
        <v>2253</v>
      </c>
      <c r="AA35" s="7">
        <v>30440</v>
      </c>
      <c r="AB35" s="7">
        <v>4323</v>
      </c>
      <c r="AC35" s="7">
        <v>1297</v>
      </c>
      <c r="AD35" s="7">
        <v>1455</v>
      </c>
      <c r="AE35" s="7">
        <v>1362</v>
      </c>
      <c r="AF35" s="7">
        <v>1531</v>
      </c>
    </row>
    <row r="36" spans="1:32">
      <c r="A36" s="11">
        <v>120</v>
      </c>
      <c r="B36" s="11" t="s">
        <v>49</v>
      </c>
      <c r="C36" s="2" t="s">
        <v>50</v>
      </c>
      <c r="D36" s="2" t="s">
        <v>51</v>
      </c>
      <c r="E36" t="s">
        <v>44</v>
      </c>
      <c r="F36" t="s">
        <v>45</v>
      </c>
      <c r="G36" s="2" t="s">
        <v>6</v>
      </c>
      <c r="H36" s="5">
        <v>46273.592372916697</v>
      </c>
      <c r="I36" s="2">
        <v>107.49</v>
      </c>
      <c r="J36" s="2" t="s">
        <v>47</v>
      </c>
      <c r="K36" s="6">
        <v>25.7</v>
      </c>
      <c r="L36" s="6">
        <v>317.10000000000002</v>
      </c>
      <c r="M36" s="6">
        <v>295.39999999999998</v>
      </c>
      <c r="N36" s="7">
        <v>0</v>
      </c>
      <c r="O36" s="7">
        <v>0</v>
      </c>
      <c r="P36" s="7">
        <v>4036</v>
      </c>
      <c r="Q36" s="7">
        <v>4113</v>
      </c>
      <c r="R36" s="8">
        <v>0.3</v>
      </c>
      <c r="S36" s="7">
        <v>1362</v>
      </c>
      <c r="T36" s="7">
        <v>1311</v>
      </c>
      <c r="U36" s="7">
        <v>0</v>
      </c>
      <c r="V36" s="7">
        <v>0</v>
      </c>
      <c r="W36" s="7">
        <v>985</v>
      </c>
      <c r="X36" s="7">
        <v>910</v>
      </c>
      <c r="Y36" s="7">
        <v>2066</v>
      </c>
      <c r="Z36" s="7">
        <v>811</v>
      </c>
      <c r="AA36" s="7">
        <v>9211</v>
      </c>
      <c r="AB36" s="7">
        <v>28701</v>
      </c>
      <c r="AC36" s="7">
        <v>1254</v>
      </c>
      <c r="AD36" s="7">
        <v>1308</v>
      </c>
      <c r="AE36" s="7">
        <v>1311</v>
      </c>
      <c r="AF36" s="7">
        <v>1362</v>
      </c>
    </row>
    <row r="37" spans="1:32">
      <c r="A37" s="11">
        <v>120</v>
      </c>
      <c r="B37" s="11" t="s">
        <v>49</v>
      </c>
      <c r="C37" s="2" t="s">
        <v>50</v>
      </c>
      <c r="D37" s="2" t="s">
        <v>51</v>
      </c>
      <c r="E37" t="s">
        <v>44</v>
      </c>
      <c r="F37" t="s">
        <v>45</v>
      </c>
      <c r="G37" s="2" t="s">
        <v>6</v>
      </c>
      <c r="H37" s="5">
        <v>46273.592372916697</v>
      </c>
      <c r="I37" s="2">
        <v>107.49</v>
      </c>
      <c r="J37" s="2" t="s">
        <v>48</v>
      </c>
      <c r="K37" s="6">
        <v>26.3</v>
      </c>
      <c r="L37" s="6">
        <v>286.5</v>
      </c>
      <c r="M37" s="6">
        <v>297.8</v>
      </c>
      <c r="N37" s="7">
        <v>0</v>
      </c>
      <c r="O37" s="7">
        <v>0</v>
      </c>
      <c r="P37" s="7">
        <v>4283</v>
      </c>
      <c r="Q37" s="7">
        <v>5465</v>
      </c>
      <c r="R37" s="8">
        <v>0.28999999999999998</v>
      </c>
      <c r="S37" s="7">
        <v>1453</v>
      </c>
      <c r="T37" s="7">
        <v>1290</v>
      </c>
      <c r="U37" s="7">
        <v>0</v>
      </c>
      <c r="V37" s="7">
        <v>0</v>
      </c>
      <c r="W37" s="7">
        <v>952</v>
      </c>
      <c r="X37" s="7">
        <v>973</v>
      </c>
      <c r="Y37" s="7">
        <v>1693</v>
      </c>
      <c r="Z37" s="7">
        <v>1820</v>
      </c>
      <c r="AA37" s="7">
        <v>26758</v>
      </c>
      <c r="AB37" s="7">
        <v>24904</v>
      </c>
      <c r="AC37" s="7">
        <v>1246</v>
      </c>
      <c r="AD37" s="7">
        <v>1410</v>
      </c>
      <c r="AE37" s="7">
        <v>1290</v>
      </c>
      <c r="AF37" s="7">
        <v>1453</v>
      </c>
    </row>
    <row r="38" spans="1:32">
      <c r="A38" s="11">
        <v>129</v>
      </c>
      <c r="B38" s="11" t="s">
        <v>55</v>
      </c>
      <c r="C38" s="2" t="s">
        <v>56</v>
      </c>
      <c r="D38" s="2" t="s">
        <v>57</v>
      </c>
      <c r="E38" t="s">
        <v>44</v>
      </c>
      <c r="F38" t="s">
        <v>45</v>
      </c>
      <c r="G38" s="2" t="s">
        <v>6</v>
      </c>
      <c r="H38" s="5">
        <v>46273.585571840304</v>
      </c>
      <c r="I38" s="2">
        <v>66.75</v>
      </c>
      <c r="J38" s="2" t="s">
        <v>46</v>
      </c>
      <c r="K38" s="6">
        <v>40</v>
      </c>
      <c r="L38" s="6">
        <v>180.8</v>
      </c>
      <c r="M38" s="6">
        <v>174.4</v>
      </c>
      <c r="N38" s="7">
        <v>28</v>
      </c>
      <c r="O38" s="7">
        <v>117</v>
      </c>
      <c r="P38" s="7">
        <v>3043</v>
      </c>
      <c r="Q38" s="7">
        <v>2413</v>
      </c>
      <c r="R38" s="8">
        <v>0.55000000000000004</v>
      </c>
      <c r="S38" s="7">
        <v>802</v>
      </c>
      <c r="T38" s="7">
        <v>829</v>
      </c>
      <c r="U38" s="7">
        <v>180</v>
      </c>
      <c r="V38" s="7">
        <v>182</v>
      </c>
      <c r="W38" s="7">
        <v>770</v>
      </c>
      <c r="X38" s="7">
        <v>761</v>
      </c>
      <c r="Y38" s="7">
        <v>1597</v>
      </c>
      <c r="Z38" s="7">
        <v>2767</v>
      </c>
      <c r="AA38" s="7">
        <v>92235</v>
      </c>
      <c r="AB38" s="7">
        <v>33274</v>
      </c>
      <c r="AC38" s="7">
        <v>829</v>
      </c>
      <c r="AD38" s="7">
        <v>802</v>
      </c>
      <c r="AE38" s="7">
        <v>824</v>
      </c>
      <c r="AF38" s="7">
        <v>782</v>
      </c>
    </row>
    <row r="39" spans="1:32">
      <c r="A39" s="11">
        <v>129</v>
      </c>
      <c r="B39" s="11" t="s">
        <v>55</v>
      </c>
      <c r="C39" s="2" t="s">
        <v>56</v>
      </c>
      <c r="D39" s="2" t="s">
        <v>57</v>
      </c>
      <c r="E39" t="s">
        <v>44</v>
      </c>
      <c r="F39" t="s">
        <v>45</v>
      </c>
      <c r="G39" s="2" t="s">
        <v>6</v>
      </c>
      <c r="H39" s="5">
        <v>46273.585571840304</v>
      </c>
      <c r="I39" s="2">
        <v>66.75</v>
      </c>
      <c r="J39" s="2" t="s">
        <v>47</v>
      </c>
      <c r="K39" s="6">
        <v>39.6</v>
      </c>
      <c r="L39" s="6">
        <v>183.9</v>
      </c>
      <c r="M39" s="6">
        <v>177.5</v>
      </c>
      <c r="N39" s="7">
        <v>0</v>
      </c>
      <c r="O39" s="7">
        <v>0</v>
      </c>
      <c r="P39" s="7">
        <v>2755</v>
      </c>
      <c r="Q39" s="7">
        <v>2597</v>
      </c>
      <c r="R39" s="8">
        <v>0.56000000000000005</v>
      </c>
      <c r="S39" s="7">
        <v>808</v>
      </c>
      <c r="T39" s="7">
        <v>808</v>
      </c>
      <c r="U39" s="7">
        <v>2</v>
      </c>
      <c r="V39" s="7">
        <v>0</v>
      </c>
      <c r="W39" s="7">
        <v>758</v>
      </c>
      <c r="X39" s="7">
        <v>712</v>
      </c>
      <c r="Y39" s="7">
        <v>1826</v>
      </c>
      <c r="Z39" s="7">
        <v>1503</v>
      </c>
      <c r="AA39" s="7">
        <v>31313</v>
      </c>
      <c r="AB39" s="7">
        <v>43480</v>
      </c>
      <c r="AC39" s="7">
        <v>801</v>
      </c>
      <c r="AD39" s="7">
        <v>807</v>
      </c>
      <c r="AE39" s="7">
        <v>808</v>
      </c>
      <c r="AF39" s="7">
        <v>808</v>
      </c>
    </row>
    <row r="40" spans="1:32">
      <c r="A40" s="11">
        <v>129</v>
      </c>
      <c r="B40" s="11" t="s">
        <v>55</v>
      </c>
      <c r="C40" s="2" t="s">
        <v>56</v>
      </c>
      <c r="D40" s="2" t="s">
        <v>57</v>
      </c>
      <c r="E40" t="s">
        <v>44</v>
      </c>
      <c r="F40" t="s">
        <v>45</v>
      </c>
      <c r="G40" s="2" t="s">
        <v>6</v>
      </c>
      <c r="H40" s="5">
        <v>46273.585571840304</v>
      </c>
      <c r="I40" s="2">
        <v>66.75</v>
      </c>
      <c r="J40" s="2" t="s">
        <v>48</v>
      </c>
      <c r="K40" s="6">
        <v>39.9</v>
      </c>
      <c r="L40" s="6">
        <v>175.3</v>
      </c>
      <c r="M40" s="6">
        <v>188.8</v>
      </c>
      <c r="N40" s="7">
        <v>179</v>
      </c>
      <c r="O40" s="7">
        <v>-32</v>
      </c>
      <c r="P40" s="7">
        <v>2376</v>
      </c>
      <c r="Q40" s="7">
        <v>2429</v>
      </c>
      <c r="R40" s="8">
        <v>0.53</v>
      </c>
      <c r="S40" s="7">
        <v>778</v>
      </c>
      <c r="T40" s="7">
        <v>785</v>
      </c>
      <c r="U40" s="7">
        <v>190</v>
      </c>
      <c r="V40" s="7">
        <v>8</v>
      </c>
      <c r="W40" s="7">
        <v>745</v>
      </c>
      <c r="X40" s="7">
        <v>745</v>
      </c>
      <c r="Y40" s="7">
        <v>1593</v>
      </c>
      <c r="Z40" s="7">
        <v>2324</v>
      </c>
      <c r="AA40" s="7">
        <v>68354</v>
      </c>
      <c r="AB40" s="7">
        <v>31863</v>
      </c>
      <c r="AC40" s="7">
        <v>785</v>
      </c>
      <c r="AD40" s="7">
        <v>778</v>
      </c>
      <c r="AE40" s="7">
        <v>765</v>
      </c>
      <c r="AF40" s="7">
        <v>770</v>
      </c>
    </row>
    <row r="41" spans="1:32">
      <c r="A41" s="11">
        <v>113</v>
      </c>
      <c r="B41" s="11" t="s">
        <v>64</v>
      </c>
      <c r="C41" s="2" t="s">
        <v>65</v>
      </c>
      <c r="D41" s="2" t="s">
        <v>66</v>
      </c>
      <c r="E41" t="s">
        <v>44</v>
      </c>
      <c r="F41" t="s">
        <v>45</v>
      </c>
      <c r="G41" s="2" t="s">
        <v>6</v>
      </c>
      <c r="H41" s="5">
        <v>46273.585485219897</v>
      </c>
      <c r="I41" s="2">
        <v>63.71</v>
      </c>
      <c r="J41" s="2" t="s">
        <v>46</v>
      </c>
      <c r="K41" s="6">
        <v>29.6</v>
      </c>
      <c r="L41" s="6">
        <v>165.1</v>
      </c>
      <c r="M41" s="6">
        <v>181.6</v>
      </c>
      <c r="N41" s="7">
        <v>0</v>
      </c>
      <c r="O41" s="7">
        <v>0</v>
      </c>
      <c r="P41" s="7">
        <v>2440</v>
      </c>
      <c r="Q41" s="7">
        <v>2614</v>
      </c>
      <c r="R41" s="8">
        <v>0.38</v>
      </c>
      <c r="S41" s="7">
        <v>835</v>
      </c>
      <c r="T41" s="7">
        <v>810</v>
      </c>
      <c r="U41" s="7">
        <v>0</v>
      </c>
      <c r="V41" s="7">
        <v>0</v>
      </c>
      <c r="W41" s="7">
        <v>594</v>
      </c>
      <c r="X41" s="7">
        <v>575</v>
      </c>
      <c r="Y41" s="7">
        <v>1083</v>
      </c>
      <c r="Z41" s="7">
        <v>1728</v>
      </c>
      <c r="AA41" s="7">
        <v>35990</v>
      </c>
      <c r="AB41" s="7">
        <v>20064</v>
      </c>
      <c r="AC41" s="7">
        <v>791</v>
      </c>
      <c r="AD41" s="7">
        <v>812</v>
      </c>
      <c r="AE41" s="7">
        <v>810</v>
      </c>
      <c r="AF41" s="7">
        <v>835</v>
      </c>
    </row>
    <row r="42" spans="1:32">
      <c r="A42" s="11">
        <v>113</v>
      </c>
      <c r="B42" s="11" t="s">
        <v>64</v>
      </c>
      <c r="C42" s="2" t="s">
        <v>65</v>
      </c>
      <c r="D42" s="2" t="s">
        <v>66</v>
      </c>
      <c r="E42" t="s">
        <v>44</v>
      </c>
      <c r="F42" t="s">
        <v>45</v>
      </c>
      <c r="G42" s="2" t="s">
        <v>6</v>
      </c>
      <c r="H42" s="5">
        <v>46273.585485219897</v>
      </c>
      <c r="I42" s="2">
        <v>63.71</v>
      </c>
      <c r="J42" s="2" t="s">
        <v>47</v>
      </c>
      <c r="K42" s="6">
        <v>30.3</v>
      </c>
      <c r="L42" s="6">
        <v>162.19999999999999</v>
      </c>
      <c r="M42" s="6">
        <v>196.3</v>
      </c>
      <c r="N42" s="7">
        <v>0</v>
      </c>
      <c r="O42" s="7">
        <v>0</v>
      </c>
      <c r="P42" s="7">
        <v>2295</v>
      </c>
      <c r="Q42" s="7">
        <v>2896</v>
      </c>
      <c r="R42" s="8">
        <v>0.37</v>
      </c>
      <c r="S42" s="7">
        <v>889</v>
      </c>
      <c r="T42" s="7">
        <v>786</v>
      </c>
      <c r="U42" s="7">
        <v>0</v>
      </c>
      <c r="V42" s="7">
        <v>0</v>
      </c>
      <c r="W42" s="7">
        <v>599</v>
      </c>
      <c r="X42" s="7">
        <v>582</v>
      </c>
      <c r="Y42" s="7">
        <v>1213</v>
      </c>
      <c r="Z42" s="7">
        <v>1297</v>
      </c>
      <c r="AA42" s="7">
        <v>24933</v>
      </c>
      <c r="AB42" s="7">
        <v>30336</v>
      </c>
      <c r="AC42" s="7">
        <v>747</v>
      </c>
      <c r="AD42" s="7">
        <v>873</v>
      </c>
      <c r="AE42" s="7">
        <v>786</v>
      </c>
      <c r="AF42" s="7">
        <v>889</v>
      </c>
    </row>
    <row r="43" spans="1:32">
      <c r="A43" s="11">
        <v>113</v>
      </c>
      <c r="B43" s="11" t="s">
        <v>64</v>
      </c>
      <c r="C43" s="2" t="s">
        <v>65</v>
      </c>
      <c r="D43" s="2" t="s">
        <v>66</v>
      </c>
      <c r="E43" t="s">
        <v>44</v>
      </c>
      <c r="F43" t="s">
        <v>45</v>
      </c>
      <c r="G43" s="2" t="s">
        <v>6</v>
      </c>
      <c r="H43" s="5">
        <v>46273.585485219897</v>
      </c>
      <c r="I43" s="2">
        <v>63.71</v>
      </c>
      <c r="J43" s="2" t="s">
        <v>48</v>
      </c>
      <c r="K43" s="6">
        <v>29.2</v>
      </c>
      <c r="L43" s="6">
        <v>182.1</v>
      </c>
      <c r="M43" s="6">
        <v>176.1</v>
      </c>
      <c r="N43" s="7">
        <v>0</v>
      </c>
      <c r="O43" s="7">
        <v>0</v>
      </c>
      <c r="P43" s="7">
        <v>2301</v>
      </c>
      <c r="Q43" s="7">
        <v>2657</v>
      </c>
      <c r="R43" s="8">
        <v>0.35</v>
      </c>
      <c r="S43" s="7">
        <v>850</v>
      </c>
      <c r="T43" s="7">
        <v>808</v>
      </c>
      <c r="U43" s="7">
        <v>0</v>
      </c>
      <c r="V43" s="7">
        <v>0</v>
      </c>
      <c r="W43" s="7">
        <v>562</v>
      </c>
      <c r="X43" s="7">
        <v>567</v>
      </c>
      <c r="Y43" s="7">
        <v>2142</v>
      </c>
      <c r="Z43" s="7">
        <v>1701</v>
      </c>
      <c r="AA43" s="7">
        <v>77297</v>
      </c>
      <c r="AB43" s="7">
        <v>178537</v>
      </c>
      <c r="AC43" s="7">
        <v>802</v>
      </c>
      <c r="AD43" s="7">
        <v>829</v>
      </c>
      <c r="AE43" s="7">
        <v>808</v>
      </c>
      <c r="AF43" s="7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SHIELD</cp:lastModifiedBy>
  <cp:revision/>
  <dcterms:created xsi:type="dcterms:W3CDTF">2026-09-17T18:26:29Z</dcterms:created>
  <dcterms:modified xsi:type="dcterms:W3CDTF">2026-09-18T17:32:43Z</dcterms:modified>
  <cp:category/>
  <cp:contentStatus/>
</cp:coreProperties>
</file>
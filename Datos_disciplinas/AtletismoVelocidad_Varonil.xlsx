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68" documentId="11_E60897F41BE170836B02CE998F75CCDC64E183C8" xr6:coauthVersionLast="47" xr6:coauthVersionMax="47" xr10:uidLastSave="{DAE69211-A32A-4450-947F-ECF7A688F65B}"/>
  <bookViews>
    <workbookView xWindow="240" yWindow="105" windowWidth="14805" windowHeight="8010" xr2:uid="{00000000-000D-0000-FFFF-FFFF00000000}"/>
  </bookViews>
  <sheets>
    <sheet name="Sesio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 a="1"/>
  <c r="D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<sst xmlns="http://schemas.openxmlformats.org/spreadsheetml/2006/main" count="169" uniqueCount="65">
  <si>
    <t>ForceDecks Test Results Export</t>
  </si>
  <si>
    <t>Export Date</t>
  </si>
  <si>
    <t>09/15/2026  10:24:58</t>
  </si>
  <si>
    <t>Test Date</t>
  </si>
  <si>
    <t>Export Profile</t>
  </si>
  <si>
    <t>Evaluaciones Borregos CMJ</t>
  </si>
  <si>
    <t>Export Test Type</t>
  </si>
  <si>
    <t>Countermovement Jump</t>
  </si>
  <si>
    <t>Export Trials</t>
  </si>
  <si>
    <t>Results from all trials within a test, one row/column per trial</t>
  </si>
  <si>
    <t>Number of Athletes</t>
  </si>
  <si>
    <t>Forms ID</t>
  </si>
  <si>
    <t>C000 ID</t>
  </si>
  <si>
    <t>Athlete</t>
  </si>
  <si>
    <t>Date of Birth</t>
  </si>
  <si>
    <t>Género</t>
  </si>
  <si>
    <t>Disciplina</t>
  </si>
  <si>
    <t>Test Type</t>
  </si>
  <si>
    <t>Body Weight [kg]</t>
  </si>
  <si>
    <t>Trial</t>
  </si>
  <si>
    <t>Jump Height (Imp-Mom) [cm]</t>
  </si>
  <si>
    <t>Concentric Impulse (Left) [N s]</t>
  </si>
  <si>
    <t>Concentric Impulse (Right) [N s]</t>
  </si>
  <si>
    <t>Concentric RFD (Left) [N/s]</t>
  </si>
  <si>
    <t>Concentric RFD (Right) [N/s]</t>
  </si>
  <si>
    <t>Eccentric Braking RFD (Left) [N/s]</t>
  </si>
  <si>
    <t>Eccentric Braking RFD (Right) [N/s]</t>
  </si>
  <si>
    <t>RSI-modified (Imp-Mom) [m/s]</t>
  </si>
  <si>
    <t>Takeoff Peak Force (Right) [N]</t>
  </si>
  <si>
    <t>Takeoff Peak Force (Left) [N]</t>
  </si>
  <si>
    <t>Concentric Time to Peak Force (Left) [ms]</t>
  </si>
  <si>
    <t>Concentric Time to Peak Force (Right) [ms]</t>
  </si>
  <si>
    <t>Force at Peak Power (Left) [N]</t>
  </si>
  <si>
    <t>Force at Peak Power (Right) [N]</t>
  </si>
  <si>
    <t>Peak Landing Force (Left) [N]</t>
  </si>
  <si>
    <t>Peak Landing Force (Right) [N]</t>
  </si>
  <si>
    <t>Landing RFD (Right) [N/s]</t>
  </si>
  <si>
    <t>Landing RFD (Left) [N/s]</t>
  </si>
  <si>
    <t>Concentric Peak Force (Left) [N]</t>
  </si>
  <si>
    <t>Concentric Peak Force (Right) [N]</t>
  </si>
  <si>
    <t>Eccentric Peak Force (Left) [N]</t>
  </si>
  <si>
    <t>Eccentric Peak Force (Right) [N]</t>
  </si>
  <si>
    <t>C103</t>
  </si>
  <si>
    <t>Alan Rivera</t>
  </si>
  <si>
    <t>27/08/2005</t>
  </si>
  <si>
    <t>Hombre</t>
  </si>
  <si>
    <t>Atletismo</t>
  </si>
  <si>
    <t>Trial 1</t>
  </si>
  <si>
    <t>Trial 2</t>
  </si>
  <si>
    <t>Trial 3</t>
  </si>
  <si>
    <t>C067</t>
  </si>
  <si>
    <t>Angel Corral</t>
  </si>
  <si>
    <t>16/10/2007</t>
  </si>
  <si>
    <t>C102</t>
  </si>
  <si>
    <t>Isac Cervantes</t>
  </si>
  <si>
    <t>03/03/2004</t>
  </si>
  <si>
    <t>C104</t>
  </si>
  <si>
    <t>Federico Gomez</t>
  </si>
  <si>
    <t>11/10/2007</t>
  </si>
  <si>
    <t>C064</t>
  </si>
  <si>
    <t>Luis Gonzalez</t>
  </si>
  <si>
    <t>22/05/2005</t>
  </si>
  <si>
    <t>C099</t>
  </si>
  <si>
    <t>Jose Diaz</t>
  </si>
  <si>
    <t>20/05/2006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</si>
</sst>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\ hh:mm"/>
  </numFmts>
  <fonts count="3">
    <font>
      <sz val="11"/>
      <color theme="1"/>
      <name val="Calibri"/>
      <family val="2"/>
      <scheme val="minor"/>
    </font>
    <font>
      <b/>
      <i/>
      <sz val="11"/>
      <color theme="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7"/>
  <sheetViews>
    <sheetView tabSelected="1" workbookViewId="0">
      <selection activeCell="G2" sqref="G2"/>
    </sheetView>
  </sheetViews>
  <sheetFormatPr defaultRowHeight="15"/>
  <cols>
    <col min="1" max="1" width="12" style="9" customWidth="1"/>
    <col min="2" max="2" width="9" style="11" customWidth="1"/>
    <col min="3" max="3" width="19.7109375" customWidth="1"/>
    <col min="4" max="4" width="16" customWidth="1"/>
    <col min="7" max="7" width="23.28515625" bestFit="1" customWidth="1"/>
    <col min="8" max="8" width="17" bestFit="1" customWidth="1"/>
  </cols>
  <sheetData>
    <row r="1" spans="1:32">
      <c r="C1" s="1" t="s">
        <v>0</v>
      </c>
    </row>
    <row r="2" spans="1:32">
      <c r="C2" s="1" t="s">
        <v>1</v>
      </c>
      <c r="D2" s="7" t="s">
        <v>2</v>
      </c>
      <c r="E2" s="7"/>
      <c r="F2" s="7"/>
      <c r="G2" s="7"/>
      <c r="H2" s="7"/>
      <c r="I2" s="7"/>
    </row>
    <row r="3" spans="1:32">
      <c r="C3" s="1" t="s">
        <v>3</v>
      </c>
      <c r="D3" s="8">
        <v>46258.738311921297</v>
      </c>
      <c r="E3" s="7"/>
      <c r="F3" s="7"/>
      <c r="G3" s="7"/>
      <c r="H3" s="7"/>
      <c r="I3" s="7"/>
    </row>
    <row r="4" spans="1:32">
      <c r="C4" s="1" t="s">
        <v>4</v>
      </c>
      <c r="D4" s="2" t="s">
        <v>5</v>
      </c>
    </row>
    <row r="5" spans="1:32">
      <c r="C5" s="1" t="s">
        <v>6</v>
      </c>
      <c r="D5" s="2" t="s">
        <v>7</v>
      </c>
    </row>
    <row r="6" spans="1:32">
      <c r="C6" s="1" t="s">
        <v>8</v>
      </c>
      <c r="D6" s="2" t="s">
        <v>9</v>
      </c>
    </row>
    <row r="7" spans="1:32">
      <c r="C7" s="1" t="s">
        <v>10</v>
      </c>
      <c r="D7" s="10" cm="1">
        <f t="array" ref="D7">COUNTA(_xlfn._xlws.FILTER(_xlfn.UNIQUE(C10:C200),_xlfn.UNIQUE(C10:C200)&lt;&gt;0))</f>
        <v>6</v>
      </c>
    </row>
    <row r="9" spans="1:32">
      <c r="A9" s="3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3</v>
      </c>
      <c r="I9" s="3" t="s">
        <v>18</v>
      </c>
      <c r="J9" s="3" t="s">
        <v>19</v>
      </c>
      <c r="K9" s="3" t="s">
        <v>20</v>
      </c>
      <c r="L9" s="3" t="s">
        <v>21</v>
      </c>
      <c r="M9" s="3" t="s">
        <v>22</v>
      </c>
      <c r="N9" s="3" t="s">
        <v>23</v>
      </c>
      <c r="O9" s="3" t="s">
        <v>24</v>
      </c>
      <c r="P9" s="3" t="s">
        <v>25</v>
      </c>
      <c r="Q9" s="3" t="s">
        <v>26</v>
      </c>
      <c r="R9" s="3" t="s">
        <v>27</v>
      </c>
      <c r="S9" s="3" t="s">
        <v>28</v>
      </c>
      <c r="T9" s="3" t="s">
        <v>29</v>
      </c>
      <c r="U9" s="3" t="s">
        <v>30</v>
      </c>
      <c r="V9" s="3" t="s">
        <v>31</v>
      </c>
      <c r="W9" s="3" t="s">
        <v>32</v>
      </c>
      <c r="X9" s="3" t="s">
        <v>33</v>
      </c>
      <c r="Y9" s="3" t="s">
        <v>34</v>
      </c>
      <c r="Z9" s="3" t="s">
        <v>35</v>
      </c>
      <c r="AA9" s="3" t="s">
        <v>36</v>
      </c>
      <c r="AB9" s="3" t="s">
        <v>37</v>
      </c>
      <c r="AC9" s="3" t="s">
        <v>38</v>
      </c>
      <c r="AD9" s="3" t="s">
        <v>39</v>
      </c>
      <c r="AE9" s="3" t="s">
        <v>40</v>
      </c>
      <c r="AF9" s="3" t="s">
        <v>41</v>
      </c>
    </row>
    <row r="10" spans="1:32">
      <c r="A10" s="9">
        <v>172</v>
      </c>
      <c r="B10" s="11" t="s">
        <v>42</v>
      </c>
      <c r="C10" s="2" t="s">
        <v>43</v>
      </c>
      <c r="D10" s="2" t="s">
        <v>44</v>
      </c>
      <c r="E10" t="s">
        <v>45</v>
      </c>
      <c r="F10" t="s">
        <v>46</v>
      </c>
      <c r="G10" s="2" t="s">
        <v>7</v>
      </c>
      <c r="H10" s="8">
        <v>46258.750610648101</v>
      </c>
      <c r="I10" s="2">
        <v>68.959999999999994</v>
      </c>
      <c r="J10" s="2" t="s">
        <v>47</v>
      </c>
      <c r="K10" s="4">
        <v>42.7</v>
      </c>
      <c r="L10" s="4">
        <v>178.4</v>
      </c>
      <c r="M10" s="4">
        <v>186.9</v>
      </c>
      <c r="N10" s="5">
        <v>1000</v>
      </c>
      <c r="O10" s="5">
        <v>500</v>
      </c>
      <c r="P10" s="5">
        <v>3230</v>
      </c>
      <c r="Q10" s="5">
        <v>3014</v>
      </c>
      <c r="R10" s="6">
        <v>0.64</v>
      </c>
      <c r="S10" s="5">
        <v>896</v>
      </c>
      <c r="T10" s="5">
        <v>832</v>
      </c>
      <c r="U10" s="5">
        <v>12</v>
      </c>
      <c r="V10" s="5">
        <v>4</v>
      </c>
      <c r="W10" s="5">
        <v>774</v>
      </c>
      <c r="X10" s="5">
        <v>813</v>
      </c>
      <c r="Y10" s="5">
        <v>2290</v>
      </c>
      <c r="Z10" s="5">
        <v>2743</v>
      </c>
      <c r="AA10" s="5">
        <v>85707</v>
      </c>
      <c r="AB10" s="5">
        <v>63616</v>
      </c>
      <c r="AC10" s="5">
        <v>831</v>
      </c>
      <c r="AD10" s="5">
        <v>895</v>
      </c>
      <c r="AE10" s="5">
        <v>832</v>
      </c>
      <c r="AF10" s="5">
        <v>896</v>
      </c>
    </row>
    <row r="11" spans="1:32">
      <c r="A11" s="9">
        <v>172</v>
      </c>
      <c r="B11" s="11" t="s">
        <v>42</v>
      </c>
      <c r="C11" s="2" t="s">
        <v>43</v>
      </c>
      <c r="D11" s="2" t="s">
        <v>44</v>
      </c>
      <c r="E11" t="s">
        <v>45</v>
      </c>
      <c r="F11" t="s">
        <v>46</v>
      </c>
      <c r="G11" s="2" t="s">
        <v>7</v>
      </c>
      <c r="H11" s="8">
        <v>46258.750610648101</v>
      </c>
      <c r="I11" s="2">
        <v>68.959999999999994</v>
      </c>
      <c r="J11" s="2" t="s">
        <v>48</v>
      </c>
      <c r="K11" s="4">
        <v>42.1</v>
      </c>
      <c r="L11" s="4">
        <v>187.7</v>
      </c>
      <c r="M11" s="4">
        <v>188.3</v>
      </c>
      <c r="N11" s="5">
        <v>500</v>
      </c>
      <c r="O11" s="5">
        <v>0</v>
      </c>
      <c r="P11" s="5">
        <v>3090</v>
      </c>
      <c r="Q11" s="5">
        <v>2871</v>
      </c>
      <c r="R11" s="6">
        <v>0.61</v>
      </c>
      <c r="S11" s="5">
        <v>872</v>
      </c>
      <c r="T11" s="5">
        <v>838</v>
      </c>
      <c r="U11" s="5">
        <v>2</v>
      </c>
      <c r="V11" s="5">
        <v>0</v>
      </c>
      <c r="W11" s="5">
        <v>773</v>
      </c>
      <c r="X11" s="5">
        <v>792</v>
      </c>
      <c r="Y11" s="5">
        <v>1864</v>
      </c>
      <c r="Z11" s="5">
        <v>2215</v>
      </c>
      <c r="AA11" s="5">
        <v>73821</v>
      </c>
      <c r="AB11" s="5">
        <v>58255</v>
      </c>
      <c r="AC11" s="5">
        <v>835</v>
      </c>
      <c r="AD11" s="5">
        <v>863</v>
      </c>
      <c r="AE11" s="5">
        <v>838</v>
      </c>
      <c r="AF11" s="5">
        <v>872</v>
      </c>
    </row>
    <row r="12" spans="1:32">
      <c r="A12" s="9">
        <v>172</v>
      </c>
      <c r="B12" s="11" t="s">
        <v>42</v>
      </c>
      <c r="C12" s="2" t="s">
        <v>43</v>
      </c>
      <c r="D12" s="2" t="s">
        <v>44</v>
      </c>
      <c r="E12" t="s">
        <v>45</v>
      </c>
      <c r="F12" t="s">
        <v>46</v>
      </c>
      <c r="G12" s="2" t="s">
        <v>7</v>
      </c>
      <c r="H12" s="8">
        <v>46258.750610648101</v>
      </c>
      <c r="I12" s="2">
        <v>68.959999999999994</v>
      </c>
      <c r="J12" s="2" t="s">
        <v>49</v>
      </c>
      <c r="K12" s="4">
        <v>41.3</v>
      </c>
      <c r="L12" s="4">
        <v>174.6</v>
      </c>
      <c r="M12" s="4">
        <v>181.9</v>
      </c>
      <c r="N12" s="5">
        <v>0</v>
      </c>
      <c r="O12" s="5">
        <v>0</v>
      </c>
      <c r="P12" s="5">
        <v>3651</v>
      </c>
      <c r="Q12" s="5">
        <v>3600</v>
      </c>
      <c r="R12" s="6">
        <v>0.63</v>
      </c>
      <c r="S12" s="5">
        <v>924</v>
      </c>
      <c r="T12" s="5">
        <v>869</v>
      </c>
      <c r="U12" s="5">
        <v>8</v>
      </c>
      <c r="V12" s="5">
        <v>0</v>
      </c>
      <c r="W12" s="5">
        <v>770</v>
      </c>
      <c r="X12" s="5">
        <v>808</v>
      </c>
      <c r="Y12" s="5">
        <v>2044</v>
      </c>
      <c r="Z12" s="5">
        <v>2837</v>
      </c>
      <c r="AA12" s="5">
        <v>118193</v>
      </c>
      <c r="AB12" s="5">
        <v>63880</v>
      </c>
      <c r="AC12" s="5">
        <v>869</v>
      </c>
      <c r="AD12" s="5">
        <v>918</v>
      </c>
      <c r="AE12" s="5">
        <v>867</v>
      </c>
      <c r="AF12" s="5">
        <v>924</v>
      </c>
    </row>
    <row r="13" spans="1:32">
      <c r="A13" s="9">
        <v>175</v>
      </c>
      <c r="B13" s="11" t="s">
        <v>50</v>
      </c>
      <c r="C13" s="2" t="s">
        <v>51</v>
      </c>
      <c r="D13" s="2" t="s">
        <v>52</v>
      </c>
      <c r="E13" t="s">
        <v>45</v>
      </c>
      <c r="F13" t="s">
        <v>46</v>
      </c>
      <c r="G13" s="2" t="s">
        <v>7</v>
      </c>
      <c r="H13" s="8">
        <v>46258.748864155103</v>
      </c>
      <c r="I13" s="2">
        <v>82.04</v>
      </c>
      <c r="J13" s="2" t="s">
        <v>47</v>
      </c>
      <c r="K13" s="4">
        <v>46</v>
      </c>
      <c r="L13" s="4">
        <v>240</v>
      </c>
      <c r="M13" s="4">
        <v>242.4</v>
      </c>
      <c r="N13" s="5">
        <v>750</v>
      </c>
      <c r="O13" s="5">
        <v>500</v>
      </c>
      <c r="P13" s="5">
        <v>2660</v>
      </c>
      <c r="Q13" s="5">
        <v>3003</v>
      </c>
      <c r="R13" s="6">
        <v>0.59</v>
      </c>
      <c r="S13" s="5">
        <v>988</v>
      </c>
      <c r="T13" s="5">
        <v>945</v>
      </c>
      <c r="U13" s="5">
        <v>4</v>
      </c>
      <c r="V13" s="5">
        <v>6</v>
      </c>
      <c r="W13" s="5">
        <v>882</v>
      </c>
      <c r="X13" s="5">
        <v>893</v>
      </c>
      <c r="Y13" s="5">
        <v>4238</v>
      </c>
      <c r="Z13" s="5">
        <v>3435</v>
      </c>
      <c r="AA13" s="5">
        <v>214669</v>
      </c>
      <c r="AB13" s="5">
        <v>264898</v>
      </c>
      <c r="AC13" s="5">
        <v>943</v>
      </c>
      <c r="AD13" s="5">
        <v>988</v>
      </c>
      <c r="AE13" s="5">
        <v>945</v>
      </c>
      <c r="AF13" s="5">
        <v>988</v>
      </c>
    </row>
    <row r="14" spans="1:32">
      <c r="A14" s="9">
        <v>175</v>
      </c>
      <c r="B14" s="11" t="s">
        <v>50</v>
      </c>
      <c r="C14" s="2" t="s">
        <v>51</v>
      </c>
      <c r="D14" s="2" t="s">
        <v>52</v>
      </c>
      <c r="E14" t="s">
        <v>45</v>
      </c>
      <c r="F14" t="s">
        <v>46</v>
      </c>
      <c r="G14" s="2" t="s">
        <v>7</v>
      </c>
      <c r="H14" s="8">
        <v>46258.748864155103</v>
      </c>
      <c r="I14" s="2">
        <v>82.04</v>
      </c>
      <c r="J14" s="2" t="s">
        <v>48</v>
      </c>
      <c r="K14" s="4">
        <v>46.6</v>
      </c>
      <c r="L14" s="4">
        <v>228.4</v>
      </c>
      <c r="M14" s="4">
        <v>230</v>
      </c>
      <c r="N14" s="5">
        <v>1500</v>
      </c>
      <c r="O14" s="5">
        <v>1000</v>
      </c>
      <c r="P14" s="5">
        <v>3361</v>
      </c>
      <c r="Q14" s="5">
        <v>3448</v>
      </c>
      <c r="R14" s="6">
        <v>0.63</v>
      </c>
      <c r="S14" s="5">
        <v>1055</v>
      </c>
      <c r="T14" s="5">
        <v>1048</v>
      </c>
      <c r="U14" s="5">
        <v>4</v>
      </c>
      <c r="V14" s="5">
        <v>10</v>
      </c>
      <c r="W14" s="5">
        <v>884</v>
      </c>
      <c r="X14" s="5">
        <v>895</v>
      </c>
      <c r="Y14" s="5">
        <v>3184</v>
      </c>
      <c r="Z14" s="5">
        <v>3375</v>
      </c>
      <c r="AA14" s="5">
        <v>210919</v>
      </c>
      <c r="AB14" s="5">
        <v>199023</v>
      </c>
      <c r="AC14" s="5">
        <v>1048</v>
      </c>
      <c r="AD14" s="5">
        <v>1055</v>
      </c>
      <c r="AE14" s="5">
        <v>1043</v>
      </c>
      <c r="AF14" s="5">
        <v>1047</v>
      </c>
    </row>
    <row r="15" spans="1:32">
      <c r="A15" s="9">
        <v>175</v>
      </c>
      <c r="B15" s="11" t="s">
        <v>50</v>
      </c>
      <c r="C15" s="2" t="s">
        <v>51</v>
      </c>
      <c r="D15" s="2" t="s">
        <v>52</v>
      </c>
      <c r="E15" t="s">
        <v>45</v>
      </c>
      <c r="F15" t="s">
        <v>46</v>
      </c>
      <c r="G15" s="2" t="s">
        <v>7</v>
      </c>
      <c r="H15" s="8">
        <v>46258.748864155103</v>
      </c>
      <c r="I15" s="2">
        <v>82.04</v>
      </c>
      <c r="J15" s="2" t="s">
        <v>49</v>
      </c>
      <c r="K15" s="4">
        <v>47.4</v>
      </c>
      <c r="L15" s="4">
        <v>242.7</v>
      </c>
      <c r="M15" s="4">
        <v>243.7</v>
      </c>
      <c r="N15" s="5">
        <v>0</v>
      </c>
      <c r="O15" s="5">
        <v>0</v>
      </c>
      <c r="P15" s="5">
        <v>2870</v>
      </c>
      <c r="Q15" s="5">
        <v>2894</v>
      </c>
      <c r="R15" s="6">
        <v>0.6</v>
      </c>
      <c r="S15" s="5">
        <v>1059</v>
      </c>
      <c r="T15" s="5">
        <v>971</v>
      </c>
      <c r="U15" s="5">
        <v>0</v>
      </c>
      <c r="V15" s="5">
        <v>0</v>
      </c>
      <c r="W15" s="5">
        <v>884</v>
      </c>
      <c r="X15" s="5">
        <v>892</v>
      </c>
      <c r="Y15" s="5">
        <v>2721</v>
      </c>
      <c r="Z15" s="5">
        <v>2250</v>
      </c>
      <c r="AA15" s="5">
        <v>102260</v>
      </c>
      <c r="AB15" s="5">
        <v>170085</v>
      </c>
      <c r="AC15" s="5">
        <v>967</v>
      </c>
      <c r="AD15" s="5">
        <v>1048</v>
      </c>
      <c r="AE15" s="5">
        <v>971</v>
      </c>
      <c r="AF15" s="5">
        <v>1059</v>
      </c>
    </row>
    <row r="16" spans="1:32">
      <c r="A16" s="9">
        <v>169</v>
      </c>
      <c r="B16" s="11" t="s">
        <v>53</v>
      </c>
      <c r="C16" s="2" t="s">
        <v>54</v>
      </c>
      <c r="D16" s="2" t="s">
        <v>55</v>
      </c>
      <c r="E16" t="s">
        <v>45</v>
      </c>
      <c r="F16" t="s">
        <v>46</v>
      </c>
      <c r="G16" s="2" t="s">
        <v>7</v>
      </c>
      <c r="H16" s="8">
        <v>46258.744137037</v>
      </c>
      <c r="I16" s="2">
        <v>65.48</v>
      </c>
      <c r="J16" s="2" t="s">
        <v>47</v>
      </c>
      <c r="K16" s="4">
        <v>52</v>
      </c>
      <c r="L16" s="4">
        <v>195.5</v>
      </c>
      <c r="M16" s="4">
        <v>194.8</v>
      </c>
      <c r="N16" s="5">
        <v>0</v>
      </c>
      <c r="O16" s="5">
        <v>0</v>
      </c>
      <c r="P16" s="5">
        <v>2990</v>
      </c>
      <c r="Q16" s="5">
        <v>2913</v>
      </c>
      <c r="R16" s="6">
        <v>0.69</v>
      </c>
      <c r="S16" s="5">
        <v>960</v>
      </c>
      <c r="T16" s="5">
        <v>935</v>
      </c>
      <c r="U16" s="5">
        <v>0</v>
      </c>
      <c r="V16" s="5">
        <v>0</v>
      </c>
      <c r="W16" s="5">
        <v>697</v>
      </c>
      <c r="X16" s="5">
        <v>706</v>
      </c>
      <c r="Y16" s="5">
        <v>1684</v>
      </c>
      <c r="Z16" s="5">
        <v>1282</v>
      </c>
      <c r="AA16" s="5">
        <v>30515</v>
      </c>
      <c r="AB16" s="5">
        <v>46782</v>
      </c>
      <c r="AC16" s="5">
        <v>923</v>
      </c>
      <c r="AD16" s="5">
        <v>954</v>
      </c>
      <c r="AE16" s="5">
        <v>935</v>
      </c>
      <c r="AF16" s="5">
        <v>960</v>
      </c>
    </row>
    <row r="17" spans="1:32">
      <c r="A17" s="9">
        <v>169</v>
      </c>
      <c r="B17" s="11" t="s">
        <v>53</v>
      </c>
      <c r="C17" s="2" t="s">
        <v>54</v>
      </c>
      <c r="D17" s="2" t="s">
        <v>55</v>
      </c>
      <c r="E17" t="s">
        <v>45</v>
      </c>
      <c r="F17" t="s">
        <v>46</v>
      </c>
      <c r="G17" s="2" t="s">
        <v>7</v>
      </c>
      <c r="H17" s="8">
        <v>46258.744137037</v>
      </c>
      <c r="I17" s="2">
        <v>65.48</v>
      </c>
      <c r="J17" s="2" t="s">
        <v>48</v>
      </c>
      <c r="K17" s="4">
        <v>51</v>
      </c>
      <c r="L17" s="4">
        <v>180.2</v>
      </c>
      <c r="M17" s="4">
        <v>190</v>
      </c>
      <c r="N17" s="5">
        <v>0</v>
      </c>
      <c r="O17" s="5">
        <v>0</v>
      </c>
      <c r="P17" s="5">
        <v>3602</v>
      </c>
      <c r="Q17" s="5">
        <v>4120</v>
      </c>
      <c r="R17" s="6">
        <v>0.75</v>
      </c>
      <c r="S17" s="5">
        <v>965</v>
      </c>
      <c r="T17" s="5">
        <v>935</v>
      </c>
      <c r="U17" s="5">
        <v>0</v>
      </c>
      <c r="V17" s="5">
        <v>0</v>
      </c>
      <c r="W17" s="5">
        <v>712</v>
      </c>
      <c r="X17" s="5">
        <v>746</v>
      </c>
      <c r="Y17" s="5">
        <v>1742</v>
      </c>
      <c r="Z17" s="5">
        <v>1844</v>
      </c>
      <c r="AA17" s="5">
        <v>57613</v>
      </c>
      <c r="AB17" s="5">
        <v>62220</v>
      </c>
      <c r="AC17" s="5">
        <v>922</v>
      </c>
      <c r="AD17" s="5">
        <v>965</v>
      </c>
      <c r="AE17" s="5">
        <v>935</v>
      </c>
      <c r="AF17" s="5">
        <v>965</v>
      </c>
    </row>
    <row r="18" spans="1:32">
      <c r="A18" s="9">
        <v>169</v>
      </c>
      <c r="B18" s="11" t="s">
        <v>53</v>
      </c>
      <c r="C18" s="2" t="s">
        <v>54</v>
      </c>
      <c r="D18" s="2" t="s">
        <v>55</v>
      </c>
      <c r="E18" t="s">
        <v>45</v>
      </c>
      <c r="F18" t="s">
        <v>46</v>
      </c>
      <c r="G18" s="2" t="s">
        <v>7</v>
      </c>
      <c r="H18" s="8">
        <v>46258.744137037</v>
      </c>
      <c r="I18" s="2">
        <v>65.48</v>
      </c>
      <c r="J18" s="2" t="s">
        <v>49</v>
      </c>
      <c r="K18" s="4">
        <v>50.2</v>
      </c>
      <c r="L18" s="4">
        <v>193.4</v>
      </c>
      <c r="M18" s="4">
        <v>186.6</v>
      </c>
      <c r="N18" s="5">
        <v>0</v>
      </c>
      <c r="O18" s="5">
        <v>0</v>
      </c>
      <c r="P18" s="5">
        <v>3684</v>
      </c>
      <c r="Q18" s="5">
        <v>3447</v>
      </c>
      <c r="R18" s="6">
        <v>0.68</v>
      </c>
      <c r="S18" s="5">
        <v>931</v>
      </c>
      <c r="T18" s="5">
        <v>981</v>
      </c>
      <c r="U18" s="5">
        <v>0</v>
      </c>
      <c r="V18" s="5">
        <v>0</v>
      </c>
      <c r="W18" s="5">
        <v>706</v>
      </c>
      <c r="X18" s="5">
        <v>717</v>
      </c>
      <c r="Y18" s="5">
        <v>2243</v>
      </c>
      <c r="Z18" s="5">
        <v>2387</v>
      </c>
      <c r="AA18" s="5">
        <v>198885</v>
      </c>
      <c r="AB18" s="5">
        <v>124620</v>
      </c>
      <c r="AC18" s="5">
        <v>978</v>
      </c>
      <c r="AD18" s="5">
        <v>918</v>
      </c>
      <c r="AE18" s="5">
        <v>981</v>
      </c>
      <c r="AF18" s="5">
        <v>931</v>
      </c>
    </row>
    <row r="19" spans="1:32">
      <c r="A19" s="9">
        <v>167</v>
      </c>
      <c r="B19" s="11" t="s">
        <v>56</v>
      </c>
      <c r="C19" s="2" t="s">
        <v>57</v>
      </c>
      <c r="D19" s="2" t="s">
        <v>58</v>
      </c>
      <c r="E19" t="s">
        <v>45</v>
      </c>
      <c r="F19" t="s">
        <v>46</v>
      </c>
      <c r="G19" s="2" t="s">
        <v>7</v>
      </c>
      <c r="H19" s="8">
        <v>46258.7437726852</v>
      </c>
      <c r="I19" s="2">
        <v>71.59</v>
      </c>
      <c r="J19" s="2" t="s">
        <v>47</v>
      </c>
      <c r="K19" s="4">
        <v>49.2</v>
      </c>
      <c r="L19" s="4">
        <v>205.3</v>
      </c>
      <c r="M19" s="4">
        <v>200.6</v>
      </c>
      <c r="N19" s="5">
        <v>2500</v>
      </c>
      <c r="O19" s="5">
        <v>1000</v>
      </c>
      <c r="P19" s="5">
        <v>3887</v>
      </c>
      <c r="Q19" s="5">
        <v>3833</v>
      </c>
      <c r="R19" s="6">
        <v>0.65</v>
      </c>
      <c r="S19" s="5">
        <v>989</v>
      </c>
      <c r="T19" s="5">
        <v>1011</v>
      </c>
      <c r="U19" s="5">
        <v>2</v>
      </c>
      <c r="V19" s="5">
        <v>6</v>
      </c>
      <c r="W19" s="5">
        <v>813</v>
      </c>
      <c r="X19" s="5">
        <v>819</v>
      </c>
      <c r="Y19" s="5">
        <v>1466</v>
      </c>
      <c r="Z19" s="5">
        <v>2294</v>
      </c>
      <c r="AA19" s="5">
        <v>76457</v>
      </c>
      <c r="AB19" s="5">
        <v>38588</v>
      </c>
      <c r="AC19" s="5">
        <v>1008</v>
      </c>
      <c r="AD19" s="5">
        <v>989</v>
      </c>
      <c r="AE19" s="5">
        <v>1011</v>
      </c>
      <c r="AF19" s="5">
        <v>986</v>
      </c>
    </row>
    <row r="20" spans="1:32">
      <c r="A20" s="9">
        <v>167</v>
      </c>
      <c r="B20" s="11" t="s">
        <v>56</v>
      </c>
      <c r="C20" s="2" t="s">
        <v>57</v>
      </c>
      <c r="D20" s="2" t="s">
        <v>58</v>
      </c>
      <c r="E20" t="s">
        <v>45</v>
      </c>
      <c r="F20" t="s">
        <v>46</v>
      </c>
      <c r="G20" s="2" t="s">
        <v>7</v>
      </c>
      <c r="H20" s="8">
        <v>46258.7437726852</v>
      </c>
      <c r="I20" s="2">
        <v>71.59</v>
      </c>
      <c r="J20" s="2" t="s">
        <v>48</v>
      </c>
      <c r="K20" s="4">
        <v>51.8</v>
      </c>
      <c r="L20" s="4">
        <v>197.4</v>
      </c>
      <c r="M20" s="4">
        <v>208.4</v>
      </c>
      <c r="N20" s="5">
        <v>600</v>
      </c>
      <c r="O20" s="5">
        <v>-200</v>
      </c>
      <c r="P20" s="5">
        <v>3602</v>
      </c>
      <c r="Q20" s="5">
        <v>3885</v>
      </c>
      <c r="R20" s="6">
        <v>0.74</v>
      </c>
      <c r="S20" s="5">
        <v>1096</v>
      </c>
      <c r="T20" s="5">
        <v>984</v>
      </c>
      <c r="U20" s="5">
        <v>16</v>
      </c>
      <c r="V20" s="5">
        <v>6</v>
      </c>
      <c r="W20" s="5">
        <v>795</v>
      </c>
      <c r="X20" s="5">
        <v>828</v>
      </c>
      <c r="Y20" s="5">
        <v>1514</v>
      </c>
      <c r="Z20" s="5">
        <v>1674</v>
      </c>
      <c r="AA20" s="5">
        <v>52303</v>
      </c>
      <c r="AB20" s="5">
        <v>47324</v>
      </c>
      <c r="AC20" s="5">
        <v>984</v>
      </c>
      <c r="AD20" s="5">
        <v>1096</v>
      </c>
      <c r="AE20" s="5">
        <v>977</v>
      </c>
      <c r="AF20" s="5">
        <v>1095</v>
      </c>
    </row>
    <row r="21" spans="1:32">
      <c r="A21" s="9">
        <v>167</v>
      </c>
      <c r="B21" s="11" t="s">
        <v>56</v>
      </c>
      <c r="C21" s="2" t="s">
        <v>57</v>
      </c>
      <c r="D21" s="2" t="s">
        <v>58</v>
      </c>
      <c r="E21" t="s">
        <v>45</v>
      </c>
      <c r="F21" t="s">
        <v>46</v>
      </c>
      <c r="G21" s="2" t="s">
        <v>7</v>
      </c>
      <c r="H21" s="8">
        <v>46258.7437726852</v>
      </c>
      <c r="I21" s="2">
        <v>71.59</v>
      </c>
      <c r="J21" s="2" t="s">
        <v>49</v>
      </c>
      <c r="K21" s="4">
        <v>50.2</v>
      </c>
      <c r="L21" s="4">
        <v>205.1</v>
      </c>
      <c r="M21" s="4">
        <v>196.5</v>
      </c>
      <c r="N21" s="5">
        <v>0</v>
      </c>
      <c r="O21" s="5">
        <v>0</v>
      </c>
      <c r="P21" s="5">
        <v>5367</v>
      </c>
      <c r="Q21" s="5">
        <v>4000</v>
      </c>
      <c r="R21" s="6">
        <v>0.72</v>
      </c>
      <c r="S21" s="5">
        <v>1143</v>
      </c>
      <c r="T21" s="5">
        <v>1055</v>
      </c>
      <c r="U21" s="5">
        <v>0</v>
      </c>
      <c r="V21" s="5">
        <v>0</v>
      </c>
      <c r="W21" s="5">
        <v>840</v>
      </c>
      <c r="X21" s="5">
        <v>829</v>
      </c>
      <c r="Y21" s="5">
        <v>2103</v>
      </c>
      <c r="Z21" s="5">
        <v>1180</v>
      </c>
      <c r="AA21" s="5">
        <v>31045</v>
      </c>
      <c r="AB21" s="5">
        <v>58427</v>
      </c>
      <c r="AC21" s="5">
        <v>1048</v>
      </c>
      <c r="AD21" s="5">
        <v>1107</v>
      </c>
      <c r="AE21" s="5">
        <v>1055</v>
      </c>
      <c r="AF21" s="5">
        <v>1143</v>
      </c>
    </row>
    <row r="22" spans="1:32">
      <c r="A22" s="9">
        <v>170</v>
      </c>
      <c r="B22" s="11" t="s">
        <v>59</v>
      </c>
      <c r="C22" s="2" t="s">
        <v>60</v>
      </c>
      <c r="D22" s="2" t="s">
        <v>61</v>
      </c>
      <c r="E22" t="s">
        <v>45</v>
      </c>
      <c r="F22" t="s">
        <v>46</v>
      </c>
      <c r="G22" s="2" t="s">
        <v>7</v>
      </c>
      <c r="H22" s="8">
        <v>46258.740728935198</v>
      </c>
      <c r="I22" s="2">
        <v>68.599999999999994</v>
      </c>
      <c r="J22" s="2" t="s">
        <v>47</v>
      </c>
      <c r="K22" s="4">
        <v>48.3</v>
      </c>
      <c r="L22" s="4">
        <v>201.2</v>
      </c>
      <c r="M22" s="4">
        <v>188.5</v>
      </c>
      <c r="N22" s="5">
        <v>3000</v>
      </c>
      <c r="O22" s="5">
        <v>500</v>
      </c>
      <c r="P22" s="5">
        <v>2109</v>
      </c>
      <c r="Q22" s="5">
        <v>2095</v>
      </c>
      <c r="R22" s="6">
        <v>0.57999999999999996</v>
      </c>
      <c r="S22" s="5">
        <v>857</v>
      </c>
      <c r="T22" s="5">
        <v>902</v>
      </c>
      <c r="U22" s="5">
        <v>2</v>
      </c>
      <c r="V22" s="5">
        <v>2</v>
      </c>
      <c r="W22" s="5">
        <v>816</v>
      </c>
      <c r="X22" s="5">
        <v>780</v>
      </c>
      <c r="Y22" s="5">
        <v>3654</v>
      </c>
      <c r="Z22" s="5">
        <v>3693</v>
      </c>
      <c r="AA22" s="5">
        <v>263765</v>
      </c>
      <c r="AB22" s="5">
        <v>261026</v>
      </c>
      <c r="AC22" s="5">
        <v>902</v>
      </c>
      <c r="AD22" s="5">
        <v>857</v>
      </c>
      <c r="AE22" s="5">
        <v>899</v>
      </c>
      <c r="AF22" s="5">
        <v>856</v>
      </c>
    </row>
    <row r="23" spans="1:32">
      <c r="A23" s="9">
        <v>170</v>
      </c>
      <c r="B23" s="11" t="s">
        <v>59</v>
      </c>
      <c r="C23" s="2" t="s">
        <v>60</v>
      </c>
      <c r="D23" s="2" t="s">
        <v>61</v>
      </c>
      <c r="E23" t="s">
        <v>45</v>
      </c>
      <c r="F23" t="s">
        <v>46</v>
      </c>
      <c r="G23" s="2" t="s">
        <v>7</v>
      </c>
      <c r="H23" s="8">
        <v>46258.740728935198</v>
      </c>
      <c r="I23" s="2">
        <v>68.599999999999994</v>
      </c>
      <c r="J23" s="2" t="s">
        <v>48</v>
      </c>
      <c r="K23" s="4">
        <v>48.2</v>
      </c>
      <c r="L23" s="4">
        <v>200.4</v>
      </c>
      <c r="M23" s="4">
        <v>184.8</v>
      </c>
      <c r="N23" s="5">
        <v>0</v>
      </c>
      <c r="O23" s="5">
        <v>0</v>
      </c>
      <c r="P23" s="5">
        <v>2423</v>
      </c>
      <c r="Q23" s="5">
        <v>2057</v>
      </c>
      <c r="R23" s="6">
        <v>0.6</v>
      </c>
      <c r="S23" s="5">
        <v>856</v>
      </c>
      <c r="T23" s="5">
        <v>960</v>
      </c>
      <c r="U23" s="5">
        <v>0</v>
      </c>
      <c r="V23" s="5">
        <v>2</v>
      </c>
      <c r="W23" s="5">
        <v>806</v>
      </c>
      <c r="X23" s="5">
        <v>774</v>
      </c>
      <c r="Y23" s="5">
        <v>3569</v>
      </c>
      <c r="Z23" s="5">
        <v>3635</v>
      </c>
      <c r="AA23" s="5">
        <v>259622</v>
      </c>
      <c r="AB23" s="5">
        <v>223085</v>
      </c>
      <c r="AC23" s="5">
        <v>960</v>
      </c>
      <c r="AD23" s="5">
        <v>856</v>
      </c>
      <c r="AE23" s="5">
        <v>960</v>
      </c>
      <c r="AF23" s="5">
        <v>855</v>
      </c>
    </row>
    <row r="24" spans="1:32">
      <c r="A24" s="9">
        <v>170</v>
      </c>
      <c r="B24" s="11" t="s">
        <v>59</v>
      </c>
      <c r="C24" s="2" t="s">
        <v>60</v>
      </c>
      <c r="D24" s="2" t="s">
        <v>61</v>
      </c>
      <c r="E24" t="s">
        <v>45</v>
      </c>
      <c r="F24" t="s">
        <v>46</v>
      </c>
      <c r="G24" s="2" t="s">
        <v>7</v>
      </c>
      <c r="H24" s="8">
        <v>46258.740728935198</v>
      </c>
      <c r="I24" s="2">
        <v>68.599999999999994</v>
      </c>
      <c r="J24" s="2" t="s">
        <v>49</v>
      </c>
      <c r="K24" s="4">
        <v>48</v>
      </c>
      <c r="L24" s="4">
        <v>190</v>
      </c>
      <c r="M24" s="4">
        <v>191.6</v>
      </c>
      <c r="N24" s="5">
        <v>500</v>
      </c>
      <c r="O24" s="5">
        <v>500</v>
      </c>
      <c r="P24" s="5">
        <v>2160</v>
      </c>
      <c r="Q24" s="5">
        <v>2276</v>
      </c>
      <c r="R24" s="6">
        <v>0.6</v>
      </c>
      <c r="S24" s="5">
        <v>930</v>
      </c>
      <c r="T24" s="5">
        <v>909</v>
      </c>
      <c r="U24" s="5">
        <v>2</v>
      </c>
      <c r="V24" s="5">
        <v>4</v>
      </c>
      <c r="W24" s="5">
        <v>782</v>
      </c>
      <c r="X24" s="5">
        <v>781</v>
      </c>
      <c r="Y24" s="5">
        <v>4175</v>
      </c>
      <c r="Z24" s="5">
        <v>4018</v>
      </c>
      <c r="AA24" s="5">
        <v>111603</v>
      </c>
      <c r="AB24" s="5">
        <v>122805</v>
      </c>
      <c r="AC24" s="5">
        <v>901</v>
      </c>
      <c r="AD24" s="5">
        <v>930</v>
      </c>
      <c r="AE24" s="5">
        <v>909</v>
      </c>
      <c r="AF24" s="5">
        <v>928</v>
      </c>
    </row>
    <row r="25" spans="1:32">
      <c r="A25" s="9">
        <v>166</v>
      </c>
      <c r="B25" s="11" t="s">
        <v>62</v>
      </c>
      <c r="C25" s="2" t="s">
        <v>63</v>
      </c>
      <c r="D25" s="2" t="s">
        <v>64</v>
      </c>
      <c r="E25" t="s">
        <v>45</v>
      </c>
      <c r="F25" t="s">
        <v>46</v>
      </c>
      <c r="G25" s="2" t="s">
        <v>7</v>
      </c>
      <c r="H25" s="8">
        <v>46258.738311921297</v>
      </c>
      <c r="I25" s="2">
        <v>67</v>
      </c>
      <c r="J25" s="2" t="s">
        <v>47</v>
      </c>
      <c r="K25" s="4">
        <v>40.799999999999997</v>
      </c>
      <c r="L25" s="4">
        <v>168.5</v>
      </c>
      <c r="M25" s="4">
        <v>161.19999999999999</v>
      </c>
      <c r="N25" s="5">
        <v>1563</v>
      </c>
      <c r="O25" s="5">
        <v>-375</v>
      </c>
      <c r="P25" s="5">
        <v>3972</v>
      </c>
      <c r="Q25" s="5">
        <v>3587</v>
      </c>
      <c r="R25" s="6">
        <v>0.61</v>
      </c>
      <c r="S25" s="5">
        <v>921</v>
      </c>
      <c r="T25" s="5">
        <v>1019</v>
      </c>
      <c r="U25" s="5">
        <v>16</v>
      </c>
      <c r="V25" s="5">
        <v>4</v>
      </c>
      <c r="W25" s="5">
        <v>768</v>
      </c>
      <c r="X25" s="5">
        <v>783</v>
      </c>
      <c r="Y25" s="5">
        <v>3851</v>
      </c>
      <c r="Z25" s="5">
        <v>3558</v>
      </c>
      <c r="AA25" s="5">
        <v>296476</v>
      </c>
      <c r="AB25" s="5">
        <v>213964</v>
      </c>
      <c r="AC25" s="5">
        <v>1019</v>
      </c>
      <c r="AD25" s="5">
        <v>921</v>
      </c>
      <c r="AE25" s="5">
        <v>994</v>
      </c>
      <c r="AF25" s="5">
        <v>920</v>
      </c>
    </row>
    <row r="26" spans="1:32">
      <c r="A26" s="9">
        <v>166</v>
      </c>
      <c r="B26" s="11" t="s">
        <v>62</v>
      </c>
      <c r="C26" s="2" t="s">
        <v>63</v>
      </c>
      <c r="D26" s="2" t="s">
        <v>64</v>
      </c>
      <c r="E26" t="s">
        <v>45</v>
      </c>
      <c r="F26" t="s">
        <v>46</v>
      </c>
      <c r="G26" s="2" t="s">
        <v>7</v>
      </c>
      <c r="H26" s="8">
        <v>46258.738311921297</v>
      </c>
      <c r="I26" s="2">
        <v>67</v>
      </c>
      <c r="J26" s="2" t="s">
        <v>48</v>
      </c>
      <c r="K26" s="4">
        <v>42.4</v>
      </c>
      <c r="L26" s="4">
        <v>169.1</v>
      </c>
      <c r="M26" s="4">
        <v>178.8</v>
      </c>
      <c r="N26" s="5">
        <v>3000</v>
      </c>
      <c r="O26" s="5">
        <v>1100</v>
      </c>
      <c r="P26" s="5">
        <v>3089</v>
      </c>
      <c r="Q26" s="5">
        <v>3269</v>
      </c>
      <c r="R26" s="6">
        <v>0.61</v>
      </c>
      <c r="S26" s="5">
        <v>937</v>
      </c>
      <c r="T26" s="5">
        <v>929</v>
      </c>
      <c r="U26" s="5">
        <v>16</v>
      </c>
      <c r="V26" s="5">
        <v>6</v>
      </c>
      <c r="W26" s="5">
        <v>718</v>
      </c>
      <c r="X26" s="5">
        <v>776</v>
      </c>
      <c r="Y26" s="5">
        <v>2524</v>
      </c>
      <c r="Z26" s="5">
        <v>4636</v>
      </c>
      <c r="AA26" s="5">
        <v>331122</v>
      </c>
      <c r="AB26" s="5">
        <v>114744</v>
      </c>
      <c r="AC26" s="5">
        <v>929</v>
      </c>
      <c r="AD26" s="5">
        <v>937</v>
      </c>
      <c r="AE26" s="5">
        <v>896</v>
      </c>
      <c r="AF26" s="5">
        <v>923</v>
      </c>
    </row>
    <row r="27" spans="1:32">
      <c r="A27" s="9">
        <v>166</v>
      </c>
      <c r="B27" s="11" t="s">
        <v>62</v>
      </c>
      <c r="C27" s="2" t="s">
        <v>63</v>
      </c>
      <c r="D27" s="2" t="s">
        <v>64</v>
      </c>
      <c r="E27" t="s">
        <v>45</v>
      </c>
      <c r="F27" t="s">
        <v>46</v>
      </c>
      <c r="G27" s="2" t="s">
        <v>7</v>
      </c>
      <c r="H27" s="8">
        <v>46258.738311921297</v>
      </c>
      <c r="I27" s="2">
        <v>67</v>
      </c>
      <c r="J27" s="2" t="s">
        <v>49</v>
      </c>
      <c r="K27" s="4">
        <v>41.4</v>
      </c>
      <c r="L27" s="4">
        <v>172.8</v>
      </c>
      <c r="M27" s="4">
        <v>171.7</v>
      </c>
      <c r="N27" s="5">
        <v>-333</v>
      </c>
      <c r="O27" s="5">
        <v>833</v>
      </c>
      <c r="P27" s="5">
        <v>3696</v>
      </c>
      <c r="Q27" s="5">
        <v>3225</v>
      </c>
      <c r="R27" s="6">
        <v>0.6</v>
      </c>
      <c r="S27" s="5">
        <v>936</v>
      </c>
      <c r="T27" s="5">
        <v>997</v>
      </c>
      <c r="U27" s="5">
        <v>10</v>
      </c>
      <c r="V27" s="5">
        <v>6</v>
      </c>
      <c r="W27" s="5">
        <v>730</v>
      </c>
      <c r="X27" s="5">
        <v>758</v>
      </c>
      <c r="Y27" s="5">
        <v>2568</v>
      </c>
      <c r="Z27" s="5">
        <v>2994</v>
      </c>
      <c r="AA27" s="5">
        <v>213836</v>
      </c>
      <c r="AB27" s="5">
        <v>116744</v>
      </c>
      <c r="AC27" s="5">
        <v>997</v>
      </c>
      <c r="AD27" s="5">
        <v>936</v>
      </c>
      <c r="AE27" s="5">
        <v>995</v>
      </c>
      <c r="AF27" s="5">
        <v>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SHIELD</cp:lastModifiedBy>
  <cp:revision/>
  <dcterms:created xsi:type="dcterms:W3CDTF">2026-09-18T15:07:00Z</dcterms:created>
  <dcterms:modified xsi:type="dcterms:W3CDTF">2026-09-18T17:32:43Z</dcterms:modified>
  <cp:category/>
  <cp:contentStatus/>
</cp:coreProperties>
</file>
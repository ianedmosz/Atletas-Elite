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75" documentId="11_E60897F41BE170836B02CE998F75CCDC64E183C8" xr6:coauthVersionLast="47" xr6:coauthVersionMax="47" xr10:uidLastSave="{4EEB54E9-D86F-430E-ADEC-3EF02F2A8F4A}"/>
  <bookViews>
    <workbookView xWindow="240" yWindow="105" windowWidth="14805" windowHeight="8010" firstSheet="1" activeTab="1" xr2:uid="{00000000-000D-0000-FFFF-FFFF00000000}"/>
  </bookViews>
  <sheets>
    <sheet name="Sesion1" sheetId="1" r:id="rId1"/>
    <sheet name="Sesion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  <c r="D7" i="2" a="1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<sst xmlns="http://schemas.openxmlformats.org/spreadsheetml/2006/main" count="498" uniqueCount="96">
  <si>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</si>
  <si>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</si>
  <si>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</si>
  <si>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</si>
  <si>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</si>
  <si>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</si>
  <si>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</si>
  <si>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</si>
  <si>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</si>
  <si>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</si>
  <si>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</si>
  <si>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</si>
  <si>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</si>
  <si>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</si>
  <si>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Genero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</si>
  <si>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</si>
  <si>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</si>
  <si>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</si>
  <si>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</si>
  <si>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</si>
  <si>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</si>
  <si>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</si>
  <si>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</si>
  <si>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</si>
  <si>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</si>
  <si>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</si>
  <si>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</si>
  <si>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</si>
  <si>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</si>
  <si>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</si>
  <si>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</si>
  <si>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</si>
  <si>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</si>
  <si>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</si>
  <si>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</si>
  <si>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</si>
  <si>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</si>
  <si>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</si>
  <si>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</si>
  <si>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</si>
  <si>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</si>
  <si>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Julio Garza</t>
  </si>
  <si>
    <t>18/07/2003</t>
  </si>
  <si>
    <t>Hombre</t>
  </si>
  <si>
    <t>Soccer</t>
  </si>
  <si>
    <t>Trial 1</t>
  </si>
  <si>
    <t>Trial 2</t>
  </si>
  <si>
    <t>Trial 3</t>
  </si>
  <si>
    <t>Jose Salinas</t>
  </si>
  <si>
    <t>23/02/2007</t>
  </si>
  <si>
    <t>Kevin Nunez</t>
  </si>
  <si>
    <t>27/01/2004</t>
  </si>
  <si>
    <t>Pablo Garcia</t>
  </si>
  <si>
    <t>23/07/2004</t>
  </si>
  <si>
    <t>Rafael Navarro</t>
  </si>
  <si>
    <t>03/06/2003</t>
  </si>
  <si>
    <t xml:space="preserve">Jose Emilio  Assam </t>
  </si>
  <si>
    <t>27/02/2003</t>
  </si>
  <si>
    <t>Miguel Pantoja</t>
  </si>
  <si>
    <t>02/05/2001</t>
  </si>
  <si>
    <t>Arturo Lugo</t>
  </si>
  <si>
    <t>16/12/2006</t>
  </si>
  <si>
    <t>Giancarlo Navarro</t>
  </si>
  <si>
    <t>17/08/2026</t>
  </si>
  <si>
    <t>Jesus Aldama</t>
  </si>
  <si>
    <t>23/08/2004</t>
  </si>
  <si>
    <t>Emiliano Dávila</t>
  </si>
  <si>
    <t>15/04/2005</t>
  </si>
  <si>
    <t>Emiliano Palacios</t>
  </si>
  <si>
    <t>13/03/2002</t>
  </si>
  <si>
    <t>Alejandro Gutierrez</t>
  </si>
  <si>
    <t>25/07/2003</t>
  </si>
  <si>
    <t>Emilio Moreno</t>
  </si>
  <si>
    <t>02/08/2004</t>
  </si>
  <si>
    <t>Alexis Arellano</t>
  </si>
  <si>
    <t>22/02/2003</t>
  </si>
  <si>
    <t>Number of Atlhetes</t>
  </si>
  <si>
    <t>Emilio Cruz</t>
  </si>
  <si>
    <t>15/12/2005</t>
  </si>
  <si>
    <t xml:space="preserve">Hombre </t>
  </si>
  <si>
    <t xml:space="preserve">Fútbol Soccer </t>
  </si>
  <si>
    <t>Isaac Olguin</t>
  </si>
  <si>
    <t>30/05/2002</t>
  </si>
  <si>
    <t>Alejandro Barajas</t>
  </si>
  <si>
    <t>04/07/2008</t>
  </si>
  <si>
    <t>Carlos Gutierrez</t>
  </si>
  <si>
    <t>28/01/2006</t>
  </si>
  <si>
    <t>Miguel Barajas</t>
  </si>
  <si>
    <t>15/12/2007</t>
  </si>
  <si>
    <t>Fútbol Soccer</t>
  </si>
  <si>
    <t>Nicolás  Assam</t>
  </si>
  <si>
    <t>10/01/2009</t>
  </si>
  <si>
    <t>Manuel Rodriguez</t>
  </si>
  <si>
    <t>17/04/2006</t>
  </si>
  <si>
    <t>Luis Diego Chapa</t>
  </si>
  <si>
    <t>18/01/2008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</si>
</sst>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5"/>
  <sheetViews>
    <sheetView workbookViewId="0">
      <selection activeCell="G2" sqref="G2"/>
    </sheetView>
  </sheetViews>
  <sheetFormatPr defaultRowHeight="15"/>
  <cols>
    <col min="3" max="3" width="20.85546875" customWidth="1"/>
    <col min="4" max="4" width="20.140625" customWidth="1"/>
    <col min="7" max="7" width="23.28515625" bestFit="1" customWidth="1"/>
    <col min="8" max="8" width="17" bestFit="1" customWidth="1"/>
  </cols>
  <sheetData>
    <row r="1" spans="1:32">
      <c r="C1" s="9" t="s">
        <v>0</v>
      </c>
    </row>
    <row r="2" spans="1:32">
      <c r="C2" s="1" t="s">
        <v>1</v>
      </c>
      <c r="D2" s="8">
        <v>46280.448838854601</v>
      </c>
      <c r="E2" s="12"/>
      <c r="F2" s="12"/>
      <c r="G2" s="12"/>
      <c r="H2" s="12"/>
      <c r="I2" s="12"/>
      <c r="J2" s="12"/>
      <c r="K2" s="12"/>
    </row>
    <row r="3" spans="1:32">
      <c r="C3" s="1" t="s">
        <v>2</v>
      </c>
      <c r="D3" s="8">
        <v>46251.319494756899</v>
      </c>
      <c r="E3" s="10"/>
      <c r="F3" s="10"/>
      <c r="G3" s="10"/>
      <c r="H3" s="10"/>
      <c r="I3" s="10"/>
      <c r="J3" s="10"/>
      <c r="K3" s="10"/>
    </row>
    <row r="4" spans="1:32">
      <c r="C4" s="1" t="s">
        <v>3</v>
      </c>
      <c r="D4" s="11" t="s">
        <v>4</v>
      </c>
      <c r="E4" s="11"/>
      <c r="F4" s="11"/>
    </row>
    <row r="5" spans="1:32">
      <c r="C5" s="1" t="s">
        <v>5</v>
      </c>
      <c r="D5" s="11" t="s">
        <v>6</v>
      </c>
      <c r="E5" s="11"/>
      <c r="F5" s="11"/>
    </row>
    <row r="6" spans="1:32">
      <c r="C6" s="1" t="s">
        <v>7</v>
      </c>
      <c r="D6" s="11" t="s">
        <v>8</v>
      </c>
      <c r="E6" s="11"/>
      <c r="F6" s="11"/>
    </row>
    <row r="7" spans="1:32">
      <c r="C7" s="1" t="s">
        <v>9</v>
      </c>
      <c r="D7" s="11" cm="1">
        <f t="array" ref="D7">COUNTA(_xlfn._xlws.FILTER(_xlfn.UNIQUE(C10:C200),_xlfn.UNIQUE(C10:C200)&lt;&gt;0))</f>
        <v>15</v>
      </c>
      <c r="E7" s="11"/>
      <c r="F7" s="11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99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6</v>
      </c>
      <c r="H10" s="8">
        <v>46251.335399074102</v>
      </c>
      <c r="I10" s="3">
        <v>81.66</v>
      </c>
      <c r="J10" s="3" t="s">
        <v>45</v>
      </c>
      <c r="K10" s="5">
        <v>37.299999999999997</v>
      </c>
      <c r="L10" s="5">
        <v>211.4</v>
      </c>
      <c r="M10" s="5">
        <v>202.5</v>
      </c>
      <c r="N10" s="6">
        <v>0</v>
      </c>
      <c r="O10" s="6">
        <v>2167</v>
      </c>
      <c r="P10" s="6">
        <v>4225</v>
      </c>
      <c r="Q10" s="6">
        <v>2942</v>
      </c>
      <c r="R10" s="7">
        <v>0.55000000000000004</v>
      </c>
      <c r="S10" s="6">
        <v>1006</v>
      </c>
      <c r="T10" s="6">
        <v>1227</v>
      </c>
      <c r="U10" s="6">
        <v>0</v>
      </c>
      <c r="V10" s="6">
        <v>12</v>
      </c>
      <c r="W10" s="6">
        <v>897</v>
      </c>
      <c r="X10" s="6">
        <v>875</v>
      </c>
      <c r="Y10" s="6">
        <v>1293</v>
      </c>
      <c r="Z10" s="6">
        <v>1973</v>
      </c>
      <c r="AA10" s="6">
        <v>109633</v>
      </c>
      <c r="AB10" s="6">
        <v>34022</v>
      </c>
      <c r="AC10" s="6">
        <v>1216</v>
      </c>
      <c r="AD10" s="6">
        <v>1006</v>
      </c>
      <c r="AE10" s="6">
        <v>1227</v>
      </c>
      <c r="AF10" s="6">
        <v>987</v>
      </c>
    </row>
    <row r="11" spans="1:32">
      <c r="A11">
        <v>99</v>
      </c>
      <c r="C11" s="3" t="s">
        <v>41</v>
      </c>
      <c r="D11" s="3" t="s">
        <v>42</v>
      </c>
      <c r="E11" s="3" t="s">
        <v>43</v>
      </c>
      <c r="F11" s="3" t="s">
        <v>44</v>
      </c>
      <c r="G11" s="3" t="s">
        <v>6</v>
      </c>
      <c r="H11" s="8">
        <v>46251.335399074102</v>
      </c>
      <c r="I11" s="3">
        <v>81.66</v>
      </c>
      <c r="J11" s="3" t="s">
        <v>46</v>
      </c>
      <c r="K11" s="5">
        <v>37.200000000000003</v>
      </c>
      <c r="L11" s="5">
        <v>234.6</v>
      </c>
      <c r="M11" s="5">
        <v>211.5</v>
      </c>
      <c r="N11" s="6">
        <v>1500</v>
      </c>
      <c r="O11" s="6">
        <v>-1000</v>
      </c>
      <c r="P11" s="6">
        <v>4013</v>
      </c>
      <c r="Q11" s="6">
        <v>3154</v>
      </c>
      <c r="R11" s="7">
        <v>0.49</v>
      </c>
      <c r="S11" s="6">
        <v>1002</v>
      </c>
      <c r="T11" s="6">
        <v>1203</v>
      </c>
      <c r="U11" s="6">
        <v>2</v>
      </c>
      <c r="V11" s="6">
        <v>0</v>
      </c>
      <c r="W11" s="6">
        <v>829</v>
      </c>
      <c r="X11" s="6">
        <v>784</v>
      </c>
      <c r="Y11" s="6">
        <v>1166</v>
      </c>
      <c r="Z11" s="6">
        <v>1751</v>
      </c>
      <c r="AA11" s="6">
        <v>125100</v>
      </c>
      <c r="AB11" s="6">
        <v>44839</v>
      </c>
      <c r="AC11" s="6">
        <v>1203</v>
      </c>
      <c r="AD11" s="6">
        <v>995</v>
      </c>
      <c r="AE11" s="6">
        <v>1201</v>
      </c>
      <c r="AF11" s="6">
        <v>1002</v>
      </c>
    </row>
    <row r="12" spans="1:32">
      <c r="A12">
        <v>99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6</v>
      </c>
      <c r="H12" s="8">
        <v>46251.335399074102</v>
      </c>
      <c r="I12" s="3">
        <v>81.66</v>
      </c>
      <c r="J12" s="3" t="s">
        <v>47</v>
      </c>
      <c r="K12" s="5">
        <v>37.6</v>
      </c>
      <c r="L12" s="5">
        <v>222.8</v>
      </c>
      <c r="M12" s="5">
        <v>211.6</v>
      </c>
      <c r="N12" s="6">
        <v>0</v>
      </c>
      <c r="O12" s="6">
        <v>0</v>
      </c>
      <c r="P12" s="6">
        <v>5052</v>
      </c>
      <c r="Q12" s="6">
        <v>3348</v>
      </c>
      <c r="R12" s="7">
        <v>0.5</v>
      </c>
      <c r="S12" s="6">
        <v>1075</v>
      </c>
      <c r="T12" s="6">
        <v>1303</v>
      </c>
      <c r="U12" s="6">
        <v>0</v>
      </c>
      <c r="V12" s="6">
        <v>10</v>
      </c>
      <c r="W12" s="6">
        <v>785</v>
      </c>
      <c r="X12" s="6">
        <v>769</v>
      </c>
      <c r="Y12" s="6">
        <v>1353</v>
      </c>
      <c r="Z12" s="6">
        <v>1702</v>
      </c>
      <c r="AA12" s="6">
        <v>94578</v>
      </c>
      <c r="AB12" s="6">
        <v>84551</v>
      </c>
      <c r="AC12" s="6">
        <v>1291</v>
      </c>
      <c r="AD12" s="6">
        <v>1075</v>
      </c>
      <c r="AE12" s="6">
        <v>1303</v>
      </c>
      <c r="AF12" s="6">
        <v>1072</v>
      </c>
    </row>
    <row r="13" spans="1:32">
      <c r="A13" s="13">
        <v>100</v>
      </c>
      <c r="C13" s="3" t="s">
        <v>48</v>
      </c>
      <c r="D13" s="3" t="s">
        <v>49</v>
      </c>
      <c r="E13" s="3" t="s">
        <v>43</v>
      </c>
      <c r="F13" s="3" t="s">
        <v>44</v>
      </c>
      <c r="G13" s="3" t="s">
        <v>6</v>
      </c>
      <c r="H13" s="8">
        <v>46251.3342891551</v>
      </c>
      <c r="I13" s="3">
        <v>70.58</v>
      </c>
      <c r="J13" s="3" t="s">
        <v>45</v>
      </c>
      <c r="K13" s="5">
        <v>39.5</v>
      </c>
      <c r="L13" s="5">
        <v>185.9</v>
      </c>
      <c r="M13" s="5">
        <v>177</v>
      </c>
      <c r="N13" s="6">
        <v>391</v>
      </c>
      <c r="O13" s="6">
        <v>547</v>
      </c>
      <c r="P13" s="6">
        <v>2670</v>
      </c>
      <c r="Q13" s="6">
        <v>2314</v>
      </c>
      <c r="R13" s="7">
        <v>0.54</v>
      </c>
      <c r="S13" s="6">
        <v>891</v>
      </c>
      <c r="T13" s="6">
        <v>930</v>
      </c>
      <c r="U13" s="6">
        <v>60</v>
      </c>
      <c r="V13" s="6">
        <v>58</v>
      </c>
      <c r="W13" s="6">
        <v>788</v>
      </c>
      <c r="X13" s="6">
        <v>748</v>
      </c>
      <c r="Y13" s="6">
        <v>2019</v>
      </c>
      <c r="Z13" s="6">
        <v>3130</v>
      </c>
      <c r="AA13" s="6">
        <v>71128</v>
      </c>
      <c r="AB13" s="6">
        <v>42066</v>
      </c>
      <c r="AC13" s="6">
        <v>930</v>
      </c>
      <c r="AD13" s="6">
        <v>891</v>
      </c>
      <c r="AE13" s="6">
        <v>910</v>
      </c>
      <c r="AF13" s="6">
        <v>856</v>
      </c>
    </row>
    <row r="14" spans="1:32">
      <c r="A14" s="13">
        <v>100</v>
      </c>
      <c r="C14" s="3" t="s">
        <v>48</v>
      </c>
      <c r="D14" s="3" t="s">
        <v>49</v>
      </c>
      <c r="E14" s="3" t="s">
        <v>43</v>
      </c>
      <c r="F14" s="3" t="s">
        <v>44</v>
      </c>
      <c r="G14" s="3" t="s">
        <v>6</v>
      </c>
      <c r="H14" s="8">
        <v>46251.3342891551</v>
      </c>
      <c r="I14" s="3">
        <v>70.58</v>
      </c>
      <c r="J14" s="3" t="s">
        <v>46</v>
      </c>
      <c r="K14" s="5">
        <v>39.6</v>
      </c>
      <c r="L14" s="5">
        <v>187.2</v>
      </c>
      <c r="M14" s="5">
        <v>180.3</v>
      </c>
      <c r="N14" s="6">
        <v>0</v>
      </c>
      <c r="O14" s="6">
        <v>0</v>
      </c>
      <c r="P14" s="6">
        <v>3440</v>
      </c>
      <c r="Q14" s="6">
        <v>2911</v>
      </c>
      <c r="R14" s="7">
        <v>0.55000000000000004</v>
      </c>
      <c r="S14" s="6">
        <v>944</v>
      </c>
      <c r="T14" s="6">
        <v>1038</v>
      </c>
      <c r="U14" s="6">
        <v>0</v>
      </c>
      <c r="V14" s="6">
        <v>16</v>
      </c>
      <c r="W14" s="6">
        <v>750</v>
      </c>
      <c r="X14" s="6">
        <v>716</v>
      </c>
      <c r="Y14" s="6">
        <v>1984</v>
      </c>
      <c r="Z14" s="6">
        <v>3499</v>
      </c>
      <c r="AA14" s="6">
        <v>83301</v>
      </c>
      <c r="AB14" s="6">
        <v>41336</v>
      </c>
      <c r="AC14" s="6">
        <v>1025</v>
      </c>
      <c r="AD14" s="6">
        <v>944</v>
      </c>
      <c r="AE14" s="6">
        <v>1038</v>
      </c>
      <c r="AF14" s="6">
        <v>935</v>
      </c>
    </row>
    <row r="15" spans="1:32">
      <c r="A15" s="13">
        <v>100</v>
      </c>
      <c r="C15" s="3" t="s">
        <v>48</v>
      </c>
      <c r="D15" s="3" t="s">
        <v>49</v>
      </c>
      <c r="E15" s="3" t="s">
        <v>43</v>
      </c>
      <c r="F15" s="3" t="s">
        <v>44</v>
      </c>
      <c r="G15" s="3" t="s">
        <v>6</v>
      </c>
      <c r="H15" s="8">
        <v>46251.3342891551</v>
      </c>
      <c r="I15" s="3">
        <v>70.58</v>
      </c>
      <c r="J15" s="3" t="s">
        <v>47</v>
      </c>
      <c r="K15" s="5">
        <v>38.9</v>
      </c>
      <c r="L15" s="5">
        <v>191.5</v>
      </c>
      <c r="M15" s="5">
        <v>178.6</v>
      </c>
      <c r="N15" s="6">
        <v>0</v>
      </c>
      <c r="O15" s="6">
        <v>0</v>
      </c>
      <c r="P15" s="6">
        <v>3269</v>
      </c>
      <c r="Q15" s="6">
        <v>3150</v>
      </c>
      <c r="R15" s="7">
        <v>0.54</v>
      </c>
      <c r="S15" s="6">
        <v>1010</v>
      </c>
      <c r="T15" s="6">
        <v>1085</v>
      </c>
      <c r="U15" s="6">
        <v>0</v>
      </c>
      <c r="V15" s="6">
        <v>0</v>
      </c>
      <c r="W15" s="6">
        <v>758</v>
      </c>
      <c r="X15" s="6">
        <v>702</v>
      </c>
      <c r="Y15" s="6">
        <v>3072</v>
      </c>
      <c r="Z15" s="6">
        <v>2587</v>
      </c>
      <c r="AA15" s="6">
        <v>47901</v>
      </c>
      <c r="AB15" s="6">
        <v>54860</v>
      </c>
      <c r="AC15" s="6">
        <v>1073</v>
      </c>
      <c r="AD15" s="6">
        <v>1000</v>
      </c>
      <c r="AE15" s="6">
        <v>1085</v>
      </c>
      <c r="AF15" s="6">
        <v>1010</v>
      </c>
    </row>
    <row r="16" spans="1:32">
      <c r="A16">
        <v>95</v>
      </c>
      <c r="C16" s="3" t="s">
        <v>50</v>
      </c>
      <c r="D16" s="3" t="s">
        <v>51</v>
      </c>
      <c r="E16" s="3" t="s">
        <v>43</v>
      </c>
      <c r="F16" s="3" t="s">
        <v>44</v>
      </c>
      <c r="G16" s="3" t="s">
        <v>6</v>
      </c>
      <c r="H16" s="8">
        <v>46251.328819444403</v>
      </c>
      <c r="I16" s="3">
        <v>78.790000000000006</v>
      </c>
      <c r="J16" s="3" t="s">
        <v>45</v>
      </c>
      <c r="K16" s="5">
        <v>32.299999999999997</v>
      </c>
      <c r="L16" s="5">
        <v>203.1</v>
      </c>
      <c r="M16" s="5">
        <v>180.7</v>
      </c>
      <c r="N16" s="6">
        <v>0</v>
      </c>
      <c r="O16" s="6">
        <v>0</v>
      </c>
      <c r="P16" s="6">
        <v>4991</v>
      </c>
      <c r="Q16" s="6">
        <v>3344</v>
      </c>
      <c r="R16" s="7">
        <v>0.51</v>
      </c>
      <c r="S16" s="6">
        <v>887</v>
      </c>
      <c r="T16" s="6">
        <v>1117</v>
      </c>
      <c r="U16" s="6">
        <v>0</v>
      </c>
      <c r="V16" s="6">
        <v>4</v>
      </c>
      <c r="W16" s="6">
        <v>846</v>
      </c>
      <c r="X16" s="6">
        <v>821</v>
      </c>
      <c r="Y16" s="6">
        <v>1783</v>
      </c>
      <c r="Z16" s="6">
        <v>1585</v>
      </c>
      <c r="AA16" s="6">
        <v>26412</v>
      </c>
      <c r="AB16" s="6">
        <v>35653</v>
      </c>
      <c r="AC16" s="6">
        <v>1114</v>
      </c>
      <c r="AD16" s="6">
        <v>886</v>
      </c>
      <c r="AE16" s="6">
        <v>1117</v>
      </c>
      <c r="AF16" s="6">
        <v>887</v>
      </c>
    </row>
    <row r="17" spans="1:32">
      <c r="A17">
        <v>95</v>
      </c>
      <c r="C17" s="3" t="s">
        <v>50</v>
      </c>
      <c r="D17" s="3" t="s">
        <v>51</v>
      </c>
      <c r="E17" s="3" t="s">
        <v>43</v>
      </c>
      <c r="F17" s="3" t="s">
        <v>44</v>
      </c>
      <c r="G17" s="3" t="s">
        <v>6</v>
      </c>
      <c r="H17" s="8">
        <v>46251.328819444403</v>
      </c>
      <c r="I17" s="3">
        <v>78.790000000000006</v>
      </c>
      <c r="J17" s="3" t="s">
        <v>46</v>
      </c>
      <c r="K17" s="5">
        <v>32.299999999999997</v>
      </c>
      <c r="L17" s="5">
        <v>198.5</v>
      </c>
      <c r="M17" s="5">
        <v>182.1</v>
      </c>
      <c r="N17" s="6">
        <v>0</v>
      </c>
      <c r="O17" s="6">
        <v>0</v>
      </c>
      <c r="P17" s="6">
        <v>4832</v>
      </c>
      <c r="Q17" s="6">
        <v>3529</v>
      </c>
      <c r="R17" s="7">
        <v>0.5</v>
      </c>
      <c r="S17" s="6">
        <v>1025</v>
      </c>
      <c r="T17" s="6">
        <v>1131</v>
      </c>
      <c r="U17" s="6">
        <v>0</v>
      </c>
      <c r="V17" s="6">
        <v>0</v>
      </c>
      <c r="W17" s="6">
        <v>861</v>
      </c>
      <c r="X17" s="6">
        <v>816</v>
      </c>
      <c r="Y17" s="6">
        <v>2008</v>
      </c>
      <c r="Z17" s="6">
        <v>1681</v>
      </c>
      <c r="AA17" s="6">
        <v>30013</v>
      </c>
      <c r="AB17" s="6">
        <v>30419</v>
      </c>
      <c r="AC17" s="6">
        <v>1123</v>
      </c>
      <c r="AD17" s="6">
        <v>1013</v>
      </c>
      <c r="AE17" s="6">
        <v>1131</v>
      </c>
      <c r="AF17" s="6">
        <v>1025</v>
      </c>
    </row>
    <row r="18" spans="1:32">
      <c r="A18">
        <v>95</v>
      </c>
      <c r="C18" s="3" t="s">
        <v>50</v>
      </c>
      <c r="D18" s="3" t="s">
        <v>51</v>
      </c>
      <c r="E18" s="3" t="s">
        <v>43</v>
      </c>
      <c r="F18" s="3" t="s">
        <v>44</v>
      </c>
      <c r="G18" s="3" t="s">
        <v>6</v>
      </c>
      <c r="H18" s="8">
        <v>46251.328819444403</v>
      </c>
      <c r="I18" s="3">
        <v>78.790000000000006</v>
      </c>
      <c r="J18" s="3" t="s">
        <v>47</v>
      </c>
      <c r="K18" s="5">
        <v>32.4</v>
      </c>
      <c r="L18" s="5">
        <v>202.9</v>
      </c>
      <c r="M18" s="5">
        <v>178.6</v>
      </c>
      <c r="N18" s="6">
        <v>0</v>
      </c>
      <c r="O18" s="6">
        <v>0</v>
      </c>
      <c r="P18" s="6">
        <v>4255</v>
      </c>
      <c r="Q18" s="6">
        <v>4219</v>
      </c>
      <c r="R18" s="7">
        <v>0.52</v>
      </c>
      <c r="S18" s="6">
        <v>1027</v>
      </c>
      <c r="T18" s="6">
        <v>1198</v>
      </c>
      <c r="U18" s="6">
        <v>0</v>
      </c>
      <c r="V18" s="6">
        <v>0</v>
      </c>
      <c r="W18" s="6">
        <v>844</v>
      </c>
      <c r="X18" s="6">
        <v>803</v>
      </c>
      <c r="Y18" s="6">
        <v>1657</v>
      </c>
      <c r="Z18" s="6">
        <v>1482</v>
      </c>
      <c r="AA18" s="6">
        <v>30869</v>
      </c>
      <c r="AB18" s="6">
        <v>34513</v>
      </c>
      <c r="AC18" s="6">
        <v>1195</v>
      </c>
      <c r="AD18" s="6">
        <v>1017</v>
      </c>
      <c r="AE18" s="6">
        <v>1198</v>
      </c>
      <c r="AF18" s="6">
        <v>1027</v>
      </c>
    </row>
    <row r="19" spans="1:32">
      <c r="A19">
        <v>94</v>
      </c>
      <c r="C19" s="3" t="s">
        <v>52</v>
      </c>
      <c r="D19" s="3" t="s">
        <v>53</v>
      </c>
      <c r="E19" s="3" t="s">
        <v>43</v>
      </c>
      <c r="F19" s="3" t="s">
        <v>44</v>
      </c>
      <c r="G19" s="3" t="s">
        <v>6</v>
      </c>
      <c r="H19" s="8">
        <v>46251.328315937499</v>
      </c>
      <c r="I19" s="3">
        <v>74.010000000000005</v>
      </c>
      <c r="J19" s="3" t="s">
        <v>45</v>
      </c>
      <c r="K19" s="5">
        <v>38.299999999999997</v>
      </c>
      <c r="L19" s="5">
        <v>192.7</v>
      </c>
      <c r="M19" s="5">
        <v>187.7</v>
      </c>
      <c r="N19" s="6">
        <v>0</v>
      </c>
      <c r="O19" s="6">
        <v>0</v>
      </c>
      <c r="P19" s="6">
        <v>2582</v>
      </c>
      <c r="Q19" s="6">
        <v>3033</v>
      </c>
      <c r="R19" s="7">
        <v>0.56999999999999995</v>
      </c>
      <c r="S19" s="6">
        <v>980</v>
      </c>
      <c r="T19" s="6">
        <v>1000</v>
      </c>
      <c r="U19" s="6">
        <v>8</v>
      </c>
      <c r="V19" s="6">
        <v>0</v>
      </c>
      <c r="W19" s="6">
        <v>820</v>
      </c>
      <c r="X19" s="6">
        <v>844</v>
      </c>
      <c r="Y19" s="6">
        <v>1834</v>
      </c>
      <c r="Z19" s="6">
        <v>1851</v>
      </c>
      <c r="AA19" s="6">
        <v>38571</v>
      </c>
      <c r="AB19" s="6">
        <v>39866</v>
      </c>
      <c r="AC19" s="6">
        <v>1000</v>
      </c>
      <c r="AD19" s="6">
        <v>969</v>
      </c>
      <c r="AE19" s="6">
        <v>995</v>
      </c>
      <c r="AF19" s="6">
        <v>980</v>
      </c>
    </row>
    <row r="20" spans="1:32">
      <c r="A20">
        <v>94</v>
      </c>
      <c r="C20" s="3" t="s">
        <v>52</v>
      </c>
      <c r="D20" s="3" t="s">
        <v>53</v>
      </c>
      <c r="E20" s="3" t="s">
        <v>43</v>
      </c>
      <c r="F20" s="3" t="s">
        <v>44</v>
      </c>
      <c r="G20" s="3" t="s">
        <v>6</v>
      </c>
      <c r="H20" s="8">
        <v>46251.328315937499</v>
      </c>
      <c r="I20" s="3">
        <v>74.010000000000005</v>
      </c>
      <c r="J20" s="3" t="s">
        <v>46</v>
      </c>
      <c r="K20" s="5">
        <v>38</v>
      </c>
      <c r="L20" s="5">
        <v>195.8</v>
      </c>
      <c r="M20" s="5">
        <v>201.3</v>
      </c>
      <c r="N20" s="6">
        <v>0</v>
      </c>
      <c r="O20" s="6">
        <v>0</v>
      </c>
      <c r="P20" s="6">
        <v>2866</v>
      </c>
      <c r="Q20" s="6">
        <v>2796</v>
      </c>
      <c r="R20" s="7">
        <v>0.5</v>
      </c>
      <c r="S20" s="6">
        <v>940</v>
      </c>
      <c r="T20" s="6">
        <v>998</v>
      </c>
      <c r="U20" s="6">
        <v>0</v>
      </c>
      <c r="V20" s="6">
        <v>0</v>
      </c>
      <c r="W20" s="6">
        <v>751</v>
      </c>
      <c r="X20" s="6">
        <v>816</v>
      </c>
      <c r="Y20" s="6">
        <v>1528</v>
      </c>
      <c r="Z20" s="6">
        <v>1882</v>
      </c>
      <c r="AA20" s="6">
        <v>40922</v>
      </c>
      <c r="AB20" s="6">
        <v>27282</v>
      </c>
      <c r="AC20" s="6">
        <v>998</v>
      </c>
      <c r="AD20" s="6">
        <v>928</v>
      </c>
      <c r="AE20" s="6">
        <v>998</v>
      </c>
      <c r="AF20" s="6">
        <v>940</v>
      </c>
    </row>
    <row r="21" spans="1:32">
      <c r="A21">
        <v>94</v>
      </c>
      <c r="C21" s="3" t="s">
        <v>52</v>
      </c>
      <c r="D21" s="3" t="s">
        <v>53</v>
      </c>
      <c r="E21" s="3" t="s">
        <v>43</v>
      </c>
      <c r="F21" s="3" t="s">
        <v>44</v>
      </c>
      <c r="G21" s="3" t="s">
        <v>6</v>
      </c>
      <c r="H21" s="8">
        <v>46251.328315937499</v>
      </c>
      <c r="I21" s="3">
        <v>74.010000000000005</v>
      </c>
      <c r="J21" s="3" t="s">
        <v>47</v>
      </c>
      <c r="K21" s="5">
        <v>37</v>
      </c>
      <c r="L21" s="5">
        <v>194.8</v>
      </c>
      <c r="M21" s="5">
        <v>190.1</v>
      </c>
      <c r="N21" s="6">
        <v>500</v>
      </c>
      <c r="O21" s="6">
        <v>1000</v>
      </c>
      <c r="P21" s="6">
        <v>3355</v>
      </c>
      <c r="Q21" s="6">
        <v>3248</v>
      </c>
      <c r="R21" s="7">
        <v>0.51</v>
      </c>
      <c r="S21" s="6">
        <v>960</v>
      </c>
      <c r="T21" s="6">
        <v>985</v>
      </c>
      <c r="U21" s="6">
        <v>2</v>
      </c>
      <c r="V21" s="6">
        <v>2</v>
      </c>
      <c r="W21" s="6">
        <v>800</v>
      </c>
      <c r="X21" s="6">
        <v>811</v>
      </c>
      <c r="Y21" s="6">
        <v>1242</v>
      </c>
      <c r="Z21" s="6">
        <v>1357</v>
      </c>
      <c r="AA21" s="6">
        <v>22623</v>
      </c>
      <c r="AB21" s="6">
        <v>15921</v>
      </c>
      <c r="AC21" s="6">
        <v>985</v>
      </c>
      <c r="AD21" s="6">
        <v>959</v>
      </c>
      <c r="AE21" s="6">
        <v>984</v>
      </c>
      <c r="AF21" s="6">
        <v>960</v>
      </c>
    </row>
    <row r="22" spans="1:32">
      <c r="A22">
        <v>90</v>
      </c>
      <c r="C22" s="3" t="s">
        <v>54</v>
      </c>
      <c r="D22" s="3" t="s">
        <v>55</v>
      </c>
      <c r="E22" s="3" t="s">
        <v>43</v>
      </c>
      <c r="F22" s="3" t="s">
        <v>44</v>
      </c>
      <c r="G22" s="3" t="s">
        <v>6</v>
      </c>
      <c r="H22" s="8">
        <v>46251.322520451402</v>
      </c>
      <c r="I22" s="3">
        <v>82.08</v>
      </c>
      <c r="J22" s="3" t="s">
        <v>45</v>
      </c>
      <c r="K22" s="5">
        <v>33.5</v>
      </c>
      <c r="L22" s="5">
        <v>189.3</v>
      </c>
      <c r="M22" s="5">
        <v>238.5</v>
      </c>
      <c r="N22" s="6">
        <v>1500</v>
      </c>
      <c r="O22" s="6">
        <v>-500</v>
      </c>
      <c r="P22" s="6">
        <v>1878</v>
      </c>
      <c r="Q22" s="6">
        <v>3226</v>
      </c>
      <c r="R22" s="7">
        <v>0.44</v>
      </c>
      <c r="S22" s="6">
        <v>1143</v>
      </c>
      <c r="T22" s="6">
        <v>855</v>
      </c>
      <c r="U22" s="6">
        <v>176</v>
      </c>
      <c r="V22" s="6">
        <v>0</v>
      </c>
      <c r="W22" s="6">
        <v>825</v>
      </c>
      <c r="X22" s="6">
        <v>864</v>
      </c>
      <c r="Y22" s="6">
        <v>2261</v>
      </c>
      <c r="Z22" s="6">
        <v>3290</v>
      </c>
      <c r="AA22" s="6">
        <v>51402</v>
      </c>
      <c r="AB22" s="6">
        <v>32295</v>
      </c>
      <c r="AC22" s="6">
        <v>855</v>
      </c>
      <c r="AD22" s="6">
        <v>1141</v>
      </c>
      <c r="AE22" s="6">
        <v>673</v>
      </c>
      <c r="AF22" s="6">
        <v>1143</v>
      </c>
    </row>
    <row r="23" spans="1:32">
      <c r="A23">
        <v>90</v>
      </c>
      <c r="C23" s="3" t="s">
        <v>54</v>
      </c>
      <c r="D23" s="3" t="s">
        <v>55</v>
      </c>
      <c r="E23" s="3" t="s">
        <v>43</v>
      </c>
      <c r="F23" s="3" t="s">
        <v>44</v>
      </c>
      <c r="G23" s="3" t="s">
        <v>6</v>
      </c>
      <c r="H23" s="8">
        <v>46251.322520451402</v>
      </c>
      <c r="I23" s="3">
        <v>82.08</v>
      </c>
      <c r="J23" s="3" t="s">
        <v>46</v>
      </c>
      <c r="K23" s="5">
        <v>33.299999999999997</v>
      </c>
      <c r="L23" s="5">
        <v>195</v>
      </c>
      <c r="M23" s="5">
        <v>234.6</v>
      </c>
      <c r="N23" s="6">
        <v>1500</v>
      </c>
      <c r="O23" s="6">
        <v>-500</v>
      </c>
      <c r="P23" s="6">
        <v>1917</v>
      </c>
      <c r="Q23" s="6">
        <v>3912</v>
      </c>
      <c r="R23" s="7">
        <v>0.42</v>
      </c>
      <c r="S23" s="6">
        <v>1195</v>
      </c>
      <c r="T23" s="6">
        <v>807</v>
      </c>
      <c r="U23" s="6">
        <v>178</v>
      </c>
      <c r="V23" s="6">
        <v>0</v>
      </c>
      <c r="W23" s="6">
        <v>788</v>
      </c>
      <c r="X23" s="6">
        <v>806</v>
      </c>
      <c r="Y23" s="6">
        <v>2392</v>
      </c>
      <c r="Z23" s="6">
        <v>2786</v>
      </c>
      <c r="AA23" s="6">
        <v>39796</v>
      </c>
      <c r="AB23" s="6">
        <v>34166</v>
      </c>
      <c r="AC23" s="6">
        <v>807</v>
      </c>
      <c r="AD23" s="6">
        <v>1188</v>
      </c>
      <c r="AE23" s="6">
        <v>746</v>
      </c>
      <c r="AF23" s="6">
        <v>1195</v>
      </c>
    </row>
    <row r="24" spans="1:32">
      <c r="A24">
        <v>90</v>
      </c>
      <c r="C24" s="3" t="s">
        <v>54</v>
      </c>
      <c r="D24" s="3" t="s">
        <v>55</v>
      </c>
      <c r="E24" s="3" t="s">
        <v>43</v>
      </c>
      <c r="F24" s="3" t="s">
        <v>44</v>
      </c>
      <c r="G24" s="3" t="s">
        <v>6</v>
      </c>
      <c r="H24" s="8">
        <v>46251.322520451402</v>
      </c>
      <c r="I24" s="3">
        <v>82.08</v>
      </c>
      <c r="J24" s="3" t="s">
        <v>47</v>
      </c>
      <c r="K24" s="5">
        <v>32.6</v>
      </c>
      <c r="L24" s="5">
        <v>205.9</v>
      </c>
      <c r="M24" s="5">
        <v>215.3</v>
      </c>
      <c r="N24" s="6">
        <v>0</v>
      </c>
      <c r="O24" s="6">
        <v>0</v>
      </c>
      <c r="P24" s="6">
        <v>2462</v>
      </c>
      <c r="Q24" s="6">
        <v>3332</v>
      </c>
      <c r="R24" s="7">
        <v>0.43</v>
      </c>
      <c r="S24" s="6">
        <v>1098</v>
      </c>
      <c r="T24" s="6">
        <v>884</v>
      </c>
      <c r="U24" s="6">
        <v>120</v>
      </c>
      <c r="V24" s="6">
        <v>0</v>
      </c>
      <c r="W24" s="6">
        <v>821</v>
      </c>
      <c r="X24" s="6">
        <v>806</v>
      </c>
      <c r="Y24" s="6">
        <v>2467</v>
      </c>
      <c r="Z24" s="6">
        <v>3355</v>
      </c>
      <c r="AA24" s="6">
        <v>47924</v>
      </c>
      <c r="AB24" s="6">
        <v>36274</v>
      </c>
      <c r="AC24" s="6">
        <v>884</v>
      </c>
      <c r="AD24" s="6">
        <v>1060</v>
      </c>
      <c r="AE24" s="6">
        <v>829</v>
      </c>
      <c r="AF24" s="6">
        <v>1098</v>
      </c>
    </row>
    <row r="25" spans="1:32">
      <c r="A25">
        <v>91</v>
      </c>
      <c r="C25" s="3" t="s">
        <v>56</v>
      </c>
      <c r="D25" s="3" t="s">
        <v>57</v>
      </c>
      <c r="E25" s="3" t="s">
        <v>43</v>
      </c>
      <c r="F25" s="3" t="s">
        <v>44</v>
      </c>
      <c r="G25" s="3" t="s">
        <v>6</v>
      </c>
      <c r="H25" s="8">
        <v>46251.322408946799</v>
      </c>
      <c r="I25" s="3">
        <v>68.22</v>
      </c>
      <c r="J25" s="3" t="s">
        <v>45</v>
      </c>
      <c r="K25" s="5">
        <v>37.9</v>
      </c>
      <c r="L25" s="5">
        <v>196.3</v>
      </c>
      <c r="M25" s="5">
        <v>164.6</v>
      </c>
      <c r="N25" s="6">
        <v>893</v>
      </c>
      <c r="O25" s="6">
        <v>179</v>
      </c>
      <c r="P25" s="6">
        <v>2176</v>
      </c>
      <c r="Q25" s="6">
        <v>2014</v>
      </c>
      <c r="R25" s="7">
        <v>0.49</v>
      </c>
      <c r="S25" s="6">
        <v>742</v>
      </c>
      <c r="T25" s="6">
        <v>897</v>
      </c>
      <c r="U25" s="6">
        <v>18</v>
      </c>
      <c r="V25" s="6">
        <v>178</v>
      </c>
      <c r="W25" s="6">
        <v>768</v>
      </c>
      <c r="X25" s="6">
        <v>721</v>
      </c>
      <c r="Y25" s="6">
        <v>1626</v>
      </c>
      <c r="Z25" s="6">
        <v>1237</v>
      </c>
      <c r="AA25" s="6">
        <v>16282</v>
      </c>
      <c r="AB25" s="6">
        <v>25403</v>
      </c>
      <c r="AC25" s="6">
        <v>897</v>
      </c>
      <c r="AD25" s="6">
        <v>742</v>
      </c>
      <c r="AE25" s="6">
        <v>873</v>
      </c>
      <c r="AF25" s="6">
        <v>681</v>
      </c>
    </row>
    <row r="26" spans="1:32">
      <c r="A26">
        <v>91</v>
      </c>
      <c r="C26" s="3" t="s">
        <v>56</v>
      </c>
      <c r="D26" s="3" t="s">
        <v>57</v>
      </c>
      <c r="E26" s="3" t="s">
        <v>43</v>
      </c>
      <c r="F26" s="3" t="s">
        <v>44</v>
      </c>
      <c r="G26" s="3" t="s">
        <v>6</v>
      </c>
      <c r="H26" s="8">
        <v>46251.322408946799</v>
      </c>
      <c r="I26" s="3">
        <v>68.22</v>
      </c>
      <c r="J26" s="3" t="s">
        <v>46</v>
      </c>
      <c r="K26" s="5">
        <v>35.5</v>
      </c>
      <c r="L26" s="5">
        <v>173.9</v>
      </c>
      <c r="M26" s="5">
        <v>160.80000000000001</v>
      </c>
      <c r="N26" s="6">
        <v>0</v>
      </c>
      <c r="O26" s="6">
        <v>2100</v>
      </c>
      <c r="P26" s="6">
        <v>3158</v>
      </c>
      <c r="Q26" s="6">
        <v>2649</v>
      </c>
      <c r="R26" s="7">
        <v>0.52</v>
      </c>
      <c r="S26" s="6">
        <v>828</v>
      </c>
      <c r="T26" s="6">
        <v>967</v>
      </c>
      <c r="U26" s="6">
        <v>2</v>
      </c>
      <c r="V26" s="6">
        <v>42</v>
      </c>
      <c r="W26" s="6">
        <v>725</v>
      </c>
      <c r="X26" s="6">
        <v>731</v>
      </c>
      <c r="Y26" s="6">
        <v>3067</v>
      </c>
      <c r="Z26" s="6">
        <v>3426</v>
      </c>
      <c r="AA26" s="6">
        <v>68528</v>
      </c>
      <c r="AB26" s="6">
        <v>58977</v>
      </c>
      <c r="AC26" s="6">
        <v>967</v>
      </c>
      <c r="AD26" s="6">
        <v>828</v>
      </c>
      <c r="AE26" s="6">
        <v>966</v>
      </c>
      <c r="AF26" s="6">
        <v>779</v>
      </c>
    </row>
    <row r="27" spans="1:32">
      <c r="A27">
        <v>91</v>
      </c>
      <c r="C27" s="3" t="s">
        <v>56</v>
      </c>
      <c r="D27" s="3" t="s">
        <v>57</v>
      </c>
      <c r="E27" s="3" t="s">
        <v>43</v>
      </c>
      <c r="F27" s="3" t="s">
        <v>44</v>
      </c>
      <c r="G27" s="3" t="s">
        <v>6</v>
      </c>
      <c r="H27" s="8">
        <v>46251.322408946799</v>
      </c>
      <c r="I27" s="3">
        <v>68.22</v>
      </c>
      <c r="J27" s="3" t="s">
        <v>47</v>
      </c>
      <c r="K27" s="5">
        <v>37.9</v>
      </c>
      <c r="L27" s="5">
        <v>185</v>
      </c>
      <c r="M27" s="5">
        <v>162.30000000000001</v>
      </c>
      <c r="N27" s="6">
        <v>333</v>
      </c>
      <c r="O27" s="6">
        <v>500</v>
      </c>
      <c r="P27" s="6">
        <v>2931</v>
      </c>
      <c r="Q27" s="6">
        <v>2159</v>
      </c>
      <c r="R27" s="7">
        <v>0.53</v>
      </c>
      <c r="S27" s="6">
        <v>801</v>
      </c>
      <c r="T27" s="6">
        <v>974</v>
      </c>
      <c r="U27" s="6">
        <v>6</v>
      </c>
      <c r="V27" s="6">
        <v>44</v>
      </c>
      <c r="W27" s="6">
        <v>774</v>
      </c>
      <c r="X27" s="6">
        <v>712</v>
      </c>
      <c r="Y27" s="6">
        <v>2016</v>
      </c>
      <c r="Z27" s="6">
        <v>2089</v>
      </c>
      <c r="AA27" s="6">
        <v>30726</v>
      </c>
      <c r="AB27" s="6">
        <v>26524</v>
      </c>
      <c r="AC27" s="6">
        <v>974</v>
      </c>
      <c r="AD27" s="6">
        <v>801</v>
      </c>
      <c r="AE27" s="6">
        <v>969</v>
      </c>
      <c r="AF27" s="6">
        <v>785</v>
      </c>
    </row>
    <row r="28" spans="1:32">
      <c r="A28">
        <v>88</v>
      </c>
      <c r="C28" s="3" t="s">
        <v>58</v>
      </c>
      <c r="D28" s="3" t="s">
        <v>59</v>
      </c>
      <c r="E28" s="3" t="s">
        <v>43</v>
      </c>
      <c r="F28" s="3" t="s">
        <v>44</v>
      </c>
      <c r="G28" s="3" t="s">
        <v>6</v>
      </c>
      <c r="H28" s="8">
        <v>46251.319294178204</v>
      </c>
      <c r="I28" s="3">
        <v>79.209999999999994</v>
      </c>
      <c r="J28" s="3" t="s">
        <v>45</v>
      </c>
      <c r="K28" s="5">
        <v>31.5</v>
      </c>
      <c r="L28" s="5">
        <v>185.3</v>
      </c>
      <c r="M28" s="5">
        <v>194.7</v>
      </c>
      <c r="N28" s="6">
        <v>-583</v>
      </c>
      <c r="O28" s="6">
        <v>1083</v>
      </c>
      <c r="P28" s="6">
        <v>2295</v>
      </c>
      <c r="Q28" s="6">
        <v>2620</v>
      </c>
      <c r="R28" s="7">
        <v>0.39</v>
      </c>
      <c r="S28" s="6">
        <v>1031</v>
      </c>
      <c r="T28" s="6">
        <v>1014</v>
      </c>
      <c r="U28" s="6">
        <v>0</v>
      </c>
      <c r="V28" s="6">
        <v>24</v>
      </c>
      <c r="W28" s="6">
        <v>784</v>
      </c>
      <c r="X28" s="6">
        <v>806</v>
      </c>
      <c r="Y28" s="6">
        <v>1783</v>
      </c>
      <c r="Z28" s="6">
        <v>2749</v>
      </c>
      <c r="AA28" s="6">
        <v>57279</v>
      </c>
      <c r="AB28" s="6">
        <v>35656</v>
      </c>
      <c r="AC28" s="6">
        <v>1010</v>
      </c>
      <c r="AD28" s="6">
        <v>1031</v>
      </c>
      <c r="AE28" s="6">
        <v>1014</v>
      </c>
      <c r="AF28" s="6">
        <v>1011</v>
      </c>
    </row>
    <row r="29" spans="1:32">
      <c r="A29">
        <v>88</v>
      </c>
      <c r="C29" s="3" t="s">
        <v>58</v>
      </c>
      <c r="D29" s="3" t="s">
        <v>59</v>
      </c>
      <c r="E29" s="3" t="s">
        <v>43</v>
      </c>
      <c r="F29" s="3" t="s">
        <v>44</v>
      </c>
      <c r="G29" s="3" t="s">
        <v>6</v>
      </c>
      <c r="H29" s="8">
        <v>46251.319294178204</v>
      </c>
      <c r="I29" s="3">
        <v>79.209999999999994</v>
      </c>
      <c r="J29" s="3" t="s">
        <v>46</v>
      </c>
      <c r="K29" s="5">
        <v>32.200000000000003</v>
      </c>
      <c r="L29" s="5">
        <v>191</v>
      </c>
      <c r="M29" s="5">
        <v>183.7</v>
      </c>
      <c r="N29" s="6">
        <v>-208</v>
      </c>
      <c r="O29" s="6">
        <v>1000</v>
      </c>
      <c r="P29" s="6">
        <v>2928</v>
      </c>
      <c r="Q29" s="6">
        <v>3683</v>
      </c>
      <c r="R29" s="7">
        <v>0.44</v>
      </c>
      <c r="S29" s="6">
        <v>1032</v>
      </c>
      <c r="T29" s="6">
        <v>1060</v>
      </c>
      <c r="U29" s="6">
        <v>0</v>
      </c>
      <c r="V29" s="6">
        <v>26</v>
      </c>
      <c r="W29" s="6">
        <v>847</v>
      </c>
      <c r="X29" s="6">
        <v>817</v>
      </c>
      <c r="Y29" s="6">
        <v>3074</v>
      </c>
      <c r="Z29" s="6">
        <v>2589</v>
      </c>
      <c r="AA29" s="6">
        <v>64735</v>
      </c>
      <c r="AB29" s="6">
        <v>85384</v>
      </c>
      <c r="AC29" s="6">
        <v>1060</v>
      </c>
      <c r="AD29" s="6">
        <v>1032</v>
      </c>
      <c r="AE29" s="6">
        <v>1060</v>
      </c>
      <c r="AF29" s="6">
        <v>1008</v>
      </c>
    </row>
    <row r="30" spans="1:32">
      <c r="A30">
        <v>88</v>
      </c>
      <c r="C30" s="3" t="s">
        <v>58</v>
      </c>
      <c r="D30" s="3" t="s">
        <v>59</v>
      </c>
      <c r="E30" s="3" t="s">
        <v>43</v>
      </c>
      <c r="F30" s="3" t="s">
        <v>44</v>
      </c>
      <c r="G30" s="3" t="s">
        <v>6</v>
      </c>
      <c r="H30" s="8">
        <v>46251.319294178204</v>
      </c>
      <c r="I30" s="3">
        <v>79.209999999999994</v>
      </c>
      <c r="J30" s="3" t="s">
        <v>47</v>
      </c>
      <c r="K30" s="5">
        <v>33</v>
      </c>
      <c r="L30" s="5">
        <v>185.3</v>
      </c>
      <c r="M30" s="5">
        <v>186.2</v>
      </c>
      <c r="N30" s="6">
        <v>167</v>
      </c>
      <c r="O30" s="6">
        <v>1000</v>
      </c>
      <c r="P30" s="6">
        <v>3850</v>
      </c>
      <c r="Q30" s="6">
        <v>3147</v>
      </c>
      <c r="R30" s="7">
        <v>0.47</v>
      </c>
      <c r="S30" s="6">
        <v>1087</v>
      </c>
      <c r="T30" s="6">
        <v>1091</v>
      </c>
      <c r="U30" s="6">
        <v>8</v>
      </c>
      <c r="V30" s="6">
        <v>18</v>
      </c>
      <c r="W30" s="6">
        <v>831</v>
      </c>
      <c r="X30" s="6">
        <v>829</v>
      </c>
      <c r="Y30" s="6">
        <v>1894</v>
      </c>
      <c r="Z30" s="6">
        <v>2119</v>
      </c>
      <c r="AA30" s="6">
        <v>50462</v>
      </c>
      <c r="AB30" s="6">
        <v>47345</v>
      </c>
      <c r="AC30" s="6">
        <v>1091</v>
      </c>
      <c r="AD30" s="6">
        <v>1087</v>
      </c>
      <c r="AE30" s="6">
        <v>1086</v>
      </c>
      <c r="AF30" s="6">
        <v>1070</v>
      </c>
    </row>
    <row r="31" spans="1:32">
      <c r="A31">
        <v>101</v>
      </c>
      <c r="C31" s="3" t="s">
        <v>60</v>
      </c>
      <c r="D31" s="3" t="s">
        <v>61</v>
      </c>
      <c r="E31" t="s">
        <v>43</v>
      </c>
      <c r="F31" t="s">
        <v>44</v>
      </c>
      <c r="G31" s="3" t="s">
        <v>6</v>
      </c>
      <c r="H31" s="8">
        <v>46251.337500891197</v>
      </c>
      <c r="I31" s="3">
        <v>71.09</v>
      </c>
      <c r="J31" s="3" t="s">
        <v>45</v>
      </c>
      <c r="K31" s="5">
        <v>35.299999999999997</v>
      </c>
      <c r="L31" s="5">
        <v>199.9</v>
      </c>
      <c r="M31" s="5">
        <v>193.2</v>
      </c>
      <c r="N31" s="6">
        <v>1125</v>
      </c>
      <c r="O31" s="6">
        <v>625</v>
      </c>
      <c r="P31" s="6">
        <v>1908</v>
      </c>
      <c r="Q31" s="6">
        <v>1565</v>
      </c>
      <c r="R31" s="7">
        <v>0.43</v>
      </c>
      <c r="S31" s="6">
        <v>759</v>
      </c>
      <c r="T31" s="6">
        <v>798</v>
      </c>
      <c r="U31" s="6">
        <v>8</v>
      </c>
      <c r="V31" s="6">
        <v>2</v>
      </c>
      <c r="W31" s="6">
        <v>719</v>
      </c>
      <c r="X31" s="6">
        <v>704</v>
      </c>
      <c r="Y31" s="6">
        <v>3020</v>
      </c>
      <c r="Z31" s="6">
        <v>3109</v>
      </c>
      <c r="AA31" s="6">
        <v>81826</v>
      </c>
      <c r="AB31" s="6">
        <v>75495</v>
      </c>
      <c r="AC31" s="6">
        <v>798</v>
      </c>
      <c r="AD31" s="6">
        <v>759</v>
      </c>
      <c r="AE31" s="6">
        <v>789</v>
      </c>
      <c r="AF31" s="6">
        <v>757</v>
      </c>
    </row>
    <row r="32" spans="1:32">
      <c r="A32">
        <v>101</v>
      </c>
      <c r="C32" s="3" t="s">
        <v>60</v>
      </c>
      <c r="D32" s="3" t="s">
        <v>61</v>
      </c>
      <c r="E32" t="s">
        <v>43</v>
      </c>
      <c r="F32" t="s">
        <v>44</v>
      </c>
      <c r="G32" s="3" t="s">
        <v>6</v>
      </c>
      <c r="H32" s="8">
        <v>46251.337500891197</v>
      </c>
      <c r="I32" s="3">
        <v>71.09</v>
      </c>
      <c r="J32" s="3" t="s">
        <v>46</v>
      </c>
      <c r="K32" s="5">
        <v>32.700000000000003</v>
      </c>
      <c r="L32" s="5">
        <v>179</v>
      </c>
      <c r="M32" s="5">
        <v>182.6</v>
      </c>
      <c r="N32" s="6">
        <v>929</v>
      </c>
      <c r="O32" s="6">
        <v>1286</v>
      </c>
      <c r="P32" s="6">
        <v>1810</v>
      </c>
      <c r="Q32" s="6">
        <v>1521</v>
      </c>
      <c r="R32" s="7">
        <v>0.42</v>
      </c>
      <c r="S32" s="6">
        <v>825</v>
      </c>
      <c r="T32" s="6">
        <v>817</v>
      </c>
      <c r="U32" s="6">
        <v>16</v>
      </c>
      <c r="V32" s="6">
        <v>44</v>
      </c>
      <c r="W32" s="6">
        <v>720</v>
      </c>
      <c r="X32" s="6">
        <v>707</v>
      </c>
      <c r="Y32" s="6">
        <v>3013</v>
      </c>
      <c r="Z32" s="6">
        <v>2487</v>
      </c>
      <c r="AA32" s="6">
        <v>46063</v>
      </c>
      <c r="AB32" s="6">
        <v>62767</v>
      </c>
      <c r="AC32" s="6">
        <v>817</v>
      </c>
      <c r="AD32" s="6">
        <v>825</v>
      </c>
      <c r="AE32" s="6">
        <v>789</v>
      </c>
      <c r="AF32" s="6">
        <v>782</v>
      </c>
    </row>
    <row r="33" spans="1:32">
      <c r="A33">
        <v>101</v>
      </c>
      <c r="C33" s="3" t="s">
        <v>60</v>
      </c>
      <c r="D33" s="3" t="s">
        <v>61</v>
      </c>
      <c r="E33" t="s">
        <v>43</v>
      </c>
      <c r="F33" t="s">
        <v>44</v>
      </c>
      <c r="G33" s="3" t="s">
        <v>6</v>
      </c>
      <c r="H33" s="8">
        <v>46251.337500891197</v>
      </c>
      <c r="I33" s="3">
        <v>71.09</v>
      </c>
      <c r="J33" s="3" t="s">
        <v>47</v>
      </c>
      <c r="K33" s="5">
        <v>32.9</v>
      </c>
      <c r="L33" s="5">
        <v>178.9</v>
      </c>
      <c r="M33" s="5">
        <v>178.3</v>
      </c>
      <c r="N33" s="6">
        <v>0</v>
      </c>
      <c r="O33" s="6">
        <v>0</v>
      </c>
      <c r="P33" s="6">
        <v>2235</v>
      </c>
      <c r="Q33" s="6">
        <v>2213</v>
      </c>
      <c r="R33" s="7">
        <v>0.44</v>
      </c>
      <c r="S33" s="6">
        <v>914</v>
      </c>
      <c r="T33" s="6">
        <v>879</v>
      </c>
      <c r="U33" s="6">
        <v>8</v>
      </c>
      <c r="V33" s="6">
        <v>0</v>
      </c>
      <c r="W33" s="6">
        <v>761</v>
      </c>
      <c r="X33" s="6">
        <v>709</v>
      </c>
      <c r="Y33" s="6">
        <v>2649</v>
      </c>
      <c r="Z33" s="6">
        <v>2315</v>
      </c>
      <c r="AA33" s="6">
        <v>48238</v>
      </c>
      <c r="AB33" s="6">
        <v>55184</v>
      </c>
      <c r="AC33" s="6">
        <v>879</v>
      </c>
      <c r="AD33" s="6">
        <v>910</v>
      </c>
      <c r="AE33" s="6">
        <v>875</v>
      </c>
      <c r="AF33" s="6">
        <v>914</v>
      </c>
    </row>
    <row r="34" spans="1:32">
      <c r="A34">
        <v>102</v>
      </c>
      <c r="C34" s="3" t="s">
        <v>62</v>
      </c>
      <c r="D34" s="3" t="s">
        <v>63</v>
      </c>
      <c r="E34" t="s">
        <v>43</v>
      </c>
      <c r="F34" t="s">
        <v>44</v>
      </c>
      <c r="G34" s="3" t="s">
        <v>6</v>
      </c>
      <c r="H34" s="8">
        <v>46251.336148229202</v>
      </c>
      <c r="I34" s="3">
        <v>69.94</v>
      </c>
      <c r="J34" s="3" t="s">
        <v>45</v>
      </c>
      <c r="K34" s="5">
        <v>43.4</v>
      </c>
      <c r="L34" s="5">
        <v>190.9</v>
      </c>
      <c r="M34" s="5">
        <v>199.9</v>
      </c>
      <c r="N34" s="6">
        <v>995</v>
      </c>
      <c r="O34" s="6">
        <v>864</v>
      </c>
      <c r="P34" s="6">
        <v>1855</v>
      </c>
      <c r="Q34" s="6">
        <v>1803</v>
      </c>
      <c r="R34" s="7">
        <v>0.65</v>
      </c>
      <c r="S34" s="6">
        <v>849</v>
      </c>
      <c r="T34" s="6">
        <v>866</v>
      </c>
      <c r="U34" s="6">
        <v>186</v>
      </c>
      <c r="V34" s="6">
        <v>158</v>
      </c>
      <c r="W34" s="6">
        <v>826</v>
      </c>
      <c r="X34" s="6">
        <v>791</v>
      </c>
      <c r="Y34" s="6">
        <v>2270</v>
      </c>
      <c r="Z34" s="6">
        <v>3158</v>
      </c>
      <c r="AA34" s="6">
        <v>75182</v>
      </c>
      <c r="AB34" s="6">
        <v>45403</v>
      </c>
      <c r="AC34" s="6">
        <v>866</v>
      </c>
      <c r="AD34" s="6">
        <v>849</v>
      </c>
      <c r="AE34" s="6">
        <v>681</v>
      </c>
      <c r="AF34" s="6">
        <v>683</v>
      </c>
    </row>
    <row r="35" spans="1:32">
      <c r="A35">
        <v>102</v>
      </c>
      <c r="C35" s="3" t="s">
        <v>62</v>
      </c>
      <c r="D35" s="3" t="s">
        <v>63</v>
      </c>
      <c r="E35" t="s">
        <v>43</v>
      </c>
      <c r="F35" t="s">
        <v>44</v>
      </c>
      <c r="G35" s="3" t="s">
        <v>6</v>
      </c>
      <c r="H35" s="8">
        <v>46251.336148229202</v>
      </c>
      <c r="I35" s="3">
        <v>69.94</v>
      </c>
      <c r="J35" s="3" t="s">
        <v>46</v>
      </c>
      <c r="K35" s="5">
        <v>38.4</v>
      </c>
      <c r="L35" s="5">
        <v>176.9</v>
      </c>
      <c r="M35" s="5">
        <v>176</v>
      </c>
      <c r="N35" s="6">
        <v>625</v>
      </c>
      <c r="O35" s="6">
        <v>625</v>
      </c>
      <c r="P35" s="6">
        <v>2857</v>
      </c>
      <c r="Q35" s="6">
        <v>3031</v>
      </c>
      <c r="R35" s="7">
        <v>0.59</v>
      </c>
      <c r="S35" s="6">
        <v>957</v>
      </c>
      <c r="T35" s="6">
        <v>860</v>
      </c>
      <c r="U35" s="6">
        <v>8</v>
      </c>
      <c r="V35" s="6">
        <v>8</v>
      </c>
      <c r="W35" s="6">
        <v>797</v>
      </c>
      <c r="X35" s="6">
        <v>730</v>
      </c>
      <c r="Y35" s="6">
        <v>2791</v>
      </c>
      <c r="Z35" s="6">
        <v>2323</v>
      </c>
      <c r="AA35" s="6">
        <v>55301</v>
      </c>
      <c r="AB35" s="6">
        <v>69779</v>
      </c>
      <c r="AC35" s="6">
        <v>860</v>
      </c>
      <c r="AD35" s="6">
        <v>957</v>
      </c>
      <c r="AE35" s="6">
        <v>855</v>
      </c>
      <c r="AF35" s="6">
        <v>956</v>
      </c>
    </row>
    <row r="36" spans="1:32">
      <c r="A36">
        <v>102</v>
      </c>
      <c r="C36" s="3" t="s">
        <v>62</v>
      </c>
      <c r="D36" s="3" t="s">
        <v>63</v>
      </c>
      <c r="E36" t="s">
        <v>43</v>
      </c>
      <c r="F36" t="s">
        <v>44</v>
      </c>
      <c r="G36" s="3" t="s">
        <v>6</v>
      </c>
      <c r="H36" s="8">
        <v>46251.336148229202</v>
      </c>
      <c r="I36" s="3">
        <v>69.94</v>
      </c>
      <c r="J36" s="3" t="s">
        <v>47</v>
      </c>
      <c r="K36" s="5">
        <v>39.1</v>
      </c>
      <c r="L36" s="5">
        <v>183.2</v>
      </c>
      <c r="M36" s="5">
        <v>182.3</v>
      </c>
      <c r="N36" s="6">
        <v>1056</v>
      </c>
      <c r="O36" s="6">
        <v>1500</v>
      </c>
      <c r="P36" s="6">
        <v>2359</v>
      </c>
      <c r="Q36" s="6">
        <v>2233</v>
      </c>
      <c r="R36" s="7">
        <v>0.54</v>
      </c>
      <c r="S36" s="6">
        <v>903</v>
      </c>
      <c r="T36" s="6">
        <v>836</v>
      </c>
      <c r="U36" s="6">
        <v>164</v>
      </c>
      <c r="V36" s="6">
        <v>18</v>
      </c>
      <c r="W36" s="6">
        <v>805</v>
      </c>
      <c r="X36" s="6">
        <v>741</v>
      </c>
      <c r="Y36" s="6">
        <v>3408</v>
      </c>
      <c r="Z36" s="6">
        <v>3109</v>
      </c>
      <c r="AA36" s="6">
        <v>70651</v>
      </c>
      <c r="AB36" s="6">
        <v>89688</v>
      </c>
      <c r="AC36" s="6">
        <v>836</v>
      </c>
      <c r="AD36" s="6">
        <v>903</v>
      </c>
      <c r="AE36" s="6">
        <v>777</v>
      </c>
      <c r="AF36" s="6">
        <v>876</v>
      </c>
    </row>
    <row r="37" spans="1:32">
      <c r="A37">
        <v>98</v>
      </c>
      <c r="C37" s="3" t="s">
        <v>64</v>
      </c>
      <c r="D37" s="3" t="s">
        <v>65</v>
      </c>
      <c r="E37" t="s">
        <v>43</v>
      </c>
      <c r="F37" t="s">
        <v>44</v>
      </c>
      <c r="G37" s="3" t="s">
        <v>6</v>
      </c>
      <c r="H37" s="8">
        <v>46251.332942627298</v>
      </c>
      <c r="I37" s="3">
        <v>90.11</v>
      </c>
      <c r="J37" s="3" t="s">
        <v>45</v>
      </c>
      <c r="K37" s="5">
        <v>38.200000000000003</v>
      </c>
      <c r="L37" s="5">
        <v>232.5</v>
      </c>
      <c r="M37" s="5">
        <v>259.5</v>
      </c>
      <c r="N37" s="6">
        <v>300</v>
      </c>
      <c r="O37" s="6">
        <v>1300</v>
      </c>
      <c r="P37" s="6">
        <v>3274</v>
      </c>
      <c r="Q37" s="6">
        <v>4956</v>
      </c>
      <c r="R37" s="7">
        <v>0.53</v>
      </c>
      <c r="S37" s="6">
        <v>1188</v>
      </c>
      <c r="T37" s="6">
        <v>1071</v>
      </c>
      <c r="U37" s="6">
        <v>6</v>
      </c>
      <c r="V37" s="6">
        <v>14</v>
      </c>
      <c r="W37" s="6">
        <v>929</v>
      </c>
      <c r="X37" s="6">
        <v>970</v>
      </c>
      <c r="Y37" s="6">
        <v>1704</v>
      </c>
      <c r="Z37" s="6">
        <v>2199</v>
      </c>
      <c r="AA37" s="6">
        <v>40730</v>
      </c>
      <c r="AB37" s="6">
        <v>31552</v>
      </c>
      <c r="AC37" s="6">
        <v>1071</v>
      </c>
      <c r="AD37" s="6">
        <v>1188</v>
      </c>
      <c r="AE37" s="6">
        <v>1071</v>
      </c>
      <c r="AF37" s="6">
        <v>1173</v>
      </c>
    </row>
    <row r="38" spans="1:32">
      <c r="A38">
        <v>98</v>
      </c>
      <c r="C38" s="3" t="s">
        <v>64</v>
      </c>
      <c r="D38" s="3" t="s">
        <v>65</v>
      </c>
      <c r="E38" t="s">
        <v>43</v>
      </c>
      <c r="F38" t="s">
        <v>44</v>
      </c>
      <c r="G38" s="3" t="s">
        <v>6</v>
      </c>
      <c r="H38" s="8">
        <v>46251.332942627298</v>
      </c>
      <c r="I38" s="3">
        <v>90.11</v>
      </c>
      <c r="J38" s="3" t="s">
        <v>46</v>
      </c>
      <c r="K38" s="5">
        <v>36.700000000000003</v>
      </c>
      <c r="L38" s="5">
        <v>229.3</v>
      </c>
      <c r="M38" s="5">
        <v>259.5</v>
      </c>
      <c r="N38" s="6">
        <v>0</v>
      </c>
      <c r="O38" s="6">
        <v>0</v>
      </c>
      <c r="P38" s="6">
        <v>2346</v>
      </c>
      <c r="Q38" s="6">
        <v>3344</v>
      </c>
      <c r="R38" s="7">
        <v>0.49</v>
      </c>
      <c r="S38" s="6">
        <v>1134</v>
      </c>
      <c r="T38" s="6">
        <v>960</v>
      </c>
      <c r="U38" s="6">
        <v>0</v>
      </c>
      <c r="V38" s="6">
        <v>14</v>
      </c>
      <c r="W38" s="6">
        <v>915</v>
      </c>
      <c r="X38" s="6">
        <v>929</v>
      </c>
      <c r="Y38" s="6">
        <v>2436</v>
      </c>
      <c r="Z38" s="6">
        <v>1926</v>
      </c>
      <c r="AA38" s="6">
        <v>38528</v>
      </c>
      <c r="AB38" s="6">
        <v>50746</v>
      </c>
      <c r="AC38" s="6">
        <v>959</v>
      </c>
      <c r="AD38" s="6">
        <v>1134</v>
      </c>
      <c r="AE38" s="6">
        <v>960</v>
      </c>
      <c r="AF38" s="6">
        <v>1128</v>
      </c>
    </row>
    <row r="39" spans="1:32">
      <c r="A39">
        <v>98</v>
      </c>
      <c r="C39" s="3" t="s">
        <v>64</v>
      </c>
      <c r="D39" s="3" t="s">
        <v>65</v>
      </c>
      <c r="E39" t="s">
        <v>43</v>
      </c>
      <c r="F39" t="s">
        <v>44</v>
      </c>
      <c r="G39" s="3" t="s">
        <v>6</v>
      </c>
      <c r="H39" s="8">
        <v>46251.332942627298</v>
      </c>
      <c r="I39" s="3">
        <v>90.11</v>
      </c>
      <c r="J39" s="3" t="s">
        <v>47</v>
      </c>
      <c r="K39" s="5">
        <v>38</v>
      </c>
      <c r="L39" s="5">
        <v>235.8</v>
      </c>
      <c r="M39" s="5">
        <v>256.60000000000002</v>
      </c>
      <c r="N39" s="6">
        <v>700</v>
      </c>
      <c r="O39" s="6">
        <v>100</v>
      </c>
      <c r="P39" s="6">
        <v>2522</v>
      </c>
      <c r="Q39" s="6">
        <v>3349</v>
      </c>
      <c r="R39" s="7">
        <v>0.51</v>
      </c>
      <c r="S39" s="6">
        <v>1160</v>
      </c>
      <c r="T39" s="6">
        <v>1017</v>
      </c>
      <c r="U39" s="6">
        <v>10</v>
      </c>
      <c r="V39" s="6">
        <v>2</v>
      </c>
      <c r="W39" s="6">
        <v>906</v>
      </c>
      <c r="X39" s="6">
        <v>930</v>
      </c>
      <c r="Y39" s="6">
        <v>1676</v>
      </c>
      <c r="Z39" s="6">
        <v>2299</v>
      </c>
      <c r="AA39" s="6">
        <v>39645</v>
      </c>
      <c r="AB39" s="6">
        <v>26185</v>
      </c>
      <c r="AC39" s="6">
        <v>1017</v>
      </c>
      <c r="AD39" s="6">
        <v>1160</v>
      </c>
      <c r="AE39" s="6">
        <v>1010</v>
      </c>
      <c r="AF39" s="6">
        <v>1159</v>
      </c>
    </row>
    <row r="40" spans="1:32">
      <c r="A40">
        <v>97</v>
      </c>
      <c r="C40" s="3" t="s">
        <v>66</v>
      </c>
      <c r="D40" s="3" t="s">
        <v>67</v>
      </c>
      <c r="E40" t="s">
        <v>43</v>
      </c>
      <c r="F40" t="s">
        <v>44</v>
      </c>
      <c r="G40" s="3" t="s">
        <v>6</v>
      </c>
      <c r="H40" s="8">
        <v>46251.331853206</v>
      </c>
      <c r="I40" s="3">
        <v>81.11</v>
      </c>
      <c r="J40" s="3" t="s">
        <v>45</v>
      </c>
      <c r="K40" s="5">
        <v>44.4</v>
      </c>
      <c r="L40" s="5">
        <v>232.5</v>
      </c>
      <c r="M40" s="5">
        <v>243.9</v>
      </c>
      <c r="N40" s="6">
        <v>0</v>
      </c>
      <c r="O40" s="6">
        <v>0</v>
      </c>
      <c r="P40" s="6">
        <v>3540</v>
      </c>
      <c r="Q40" s="6">
        <v>3986</v>
      </c>
      <c r="R40" s="7">
        <v>0.56000000000000005</v>
      </c>
      <c r="S40" s="6">
        <v>1131</v>
      </c>
      <c r="T40" s="6">
        <v>1052</v>
      </c>
      <c r="U40" s="6">
        <v>0</v>
      </c>
      <c r="V40" s="6">
        <v>0</v>
      </c>
      <c r="W40" s="6">
        <v>789</v>
      </c>
      <c r="X40" s="6">
        <v>798</v>
      </c>
      <c r="Y40" s="6">
        <v>2699</v>
      </c>
      <c r="Z40" s="6">
        <v>2484</v>
      </c>
      <c r="AA40" s="6">
        <v>47762</v>
      </c>
      <c r="AB40" s="6">
        <v>49984</v>
      </c>
      <c r="AC40" s="6">
        <v>1052</v>
      </c>
      <c r="AD40" s="6">
        <v>1131</v>
      </c>
      <c r="AE40" s="6">
        <v>1052</v>
      </c>
      <c r="AF40" s="6">
        <v>1131</v>
      </c>
    </row>
    <row r="41" spans="1:32">
      <c r="A41">
        <v>97</v>
      </c>
      <c r="C41" s="3" t="s">
        <v>66</v>
      </c>
      <c r="D41" s="3" t="s">
        <v>67</v>
      </c>
      <c r="E41" t="s">
        <v>43</v>
      </c>
      <c r="F41" t="s">
        <v>44</v>
      </c>
      <c r="G41" s="3" t="s">
        <v>6</v>
      </c>
      <c r="H41" s="8">
        <v>46251.331853206</v>
      </c>
      <c r="I41" s="3">
        <v>81.11</v>
      </c>
      <c r="J41" s="3" t="s">
        <v>46</v>
      </c>
      <c r="K41" s="5">
        <v>44.7</v>
      </c>
      <c r="L41" s="5">
        <v>241.6</v>
      </c>
      <c r="M41" s="5">
        <v>243.7</v>
      </c>
      <c r="N41" s="6">
        <v>0</v>
      </c>
      <c r="O41" s="6">
        <v>0</v>
      </c>
      <c r="P41" s="6">
        <v>4011</v>
      </c>
      <c r="Q41" s="6">
        <v>4475</v>
      </c>
      <c r="R41" s="7">
        <v>0.55000000000000004</v>
      </c>
      <c r="S41" s="6">
        <v>1260</v>
      </c>
      <c r="T41" s="6">
        <v>1131</v>
      </c>
      <c r="U41" s="6">
        <v>0</v>
      </c>
      <c r="V41" s="6">
        <v>0</v>
      </c>
      <c r="W41" s="6">
        <v>786</v>
      </c>
      <c r="X41" s="6">
        <v>758</v>
      </c>
      <c r="Y41" s="6">
        <v>2812</v>
      </c>
      <c r="Z41" s="6">
        <v>3450</v>
      </c>
      <c r="AA41" s="6">
        <v>101460</v>
      </c>
      <c r="AB41" s="6">
        <v>70304</v>
      </c>
      <c r="AC41" s="6">
        <v>1127</v>
      </c>
      <c r="AD41" s="6">
        <v>1254</v>
      </c>
      <c r="AE41" s="6">
        <v>1131</v>
      </c>
      <c r="AF41" s="6">
        <v>1260</v>
      </c>
    </row>
    <row r="42" spans="1:32">
      <c r="A42">
        <v>97</v>
      </c>
      <c r="C42" s="3" t="s">
        <v>66</v>
      </c>
      <c r="D42" s="3" t="s">
        <v>67</v>
      </c>
      <c r="E42" t="s">
        <v>43</v>
      </c>
      <c r="F42" t="s">
        <v>44</v>
      </c>
      <c r="G42" s="3" t="s">
        <v>6</v>
      </c>
      <c r="H42" s="8">
        <v>46251.331853206</v>
      </c>
      <c r="I42" s="3">
        <v>81.11</v>
      </c>
      <c r="J42" s="3" t="s">
        <v>47</v>
      </c>
      <c r="K42" s="5">
        <v>44.7</v>
      </c>
      <c r="L42" s="5">
        <v>249.3</v>
      </c>
      <c r="M42" s="5">
        <v>243.8</v>
      </c>
      <c r="N42" s="6">
        <v>0</v>
      </c>
      <c r="O42" s="6">
        <v>0</v>
      </c>
      <c r="P42" s="6">
        <v>3738</v>
      </c>
      <c r="Q42" s="6">
        <v>3718</v>
      </c>
      <c r="R42" s="7">
        <v>0.55000000000000004</v>
      </c>
      <c r="S42" s="6">
        <v>1208</v>
      </c>
      <c r="T42" s="6">
        <v>1138</v>
      </c>
      <c r="U42" s="6">
        <v>0</v>
      </c>
      <c r="V42" s="6">
        <v>0</v>
      </c>
      <c r="W42" s="6">
        <v>786</v>
      </c>
      <c r="X42" s="6">
        <v>721</v>
      </c>
      <c r="Y42" s="6">
        <v>2923</v>
      </c>
      <c r="Z42" s="6">
        <v>3085</v>
      </c>
      <c r="AA42" s="6">
        <v>77116</v>
      </c>
      <c r="AB42" s="6">
        <v>73079</v>
      </c>
      <c r="AC42" s="6">
        <v>1128</v>
      </c>
      <c r="AD42" s="6">
        <v>1195</v>
      </c>
      <c r="AE42" s="6">
        <v>1138</v>
      </c>
      <c r="AF42" s="6">
        <v>1208</v>
      </c>
    </row>
    <row r="43" spans="1:32">
      <c r="A43">
        <v>96</v>
      </c>
      <c r="C43" s="3" t="s">
        <v>68</v>
      </c>
      <c r="D43" s="3" t="s">
        <v>69</v>
      </c>
      <c r="E43" t="s">
        <v>43</v>
      </c>
      <c r="F43" t="s">
        <v>44</v>
      </c>
      <c r="G43" s="3" t="s">
        <v>6</v>
      </c>
      <c r="H43" s="8">
        <v>46251.330538854199</v>
      </c>
      <c r="I43" s="3">
        <v>81.58</v>
      </c>
      <c r="J43" s="3" t="s">
        <v>45</v>
      </c>
      <c r="K43" s="5">
        <v>31.4</v>
      </c>
      <c r="L43" s="5">
        <v>184.8</v>
      </c>
      <c r="M43" s="5">
        <v>189</v>
      </c>
      <c r="N43" s="6">
        <v>400</v>
      </c>
      <c r="O43" s="6">
        <v>1200</v>
      </c>
      <c r="P43" s="6">
        <v>3802</v>
      </c>
      <c r="Q43" s="6">
        <v>3815</v>
      </c>
      <c r="R43" s="7">
        <v>0.53</v>
      </c>
      <c r="S43" s="6">
        <v>1058</v>
      </c>
      <c r="T43" s="6">
        <v>1036</v>
      </c>
      <c r="U43" s="6">
        <v>4</v>
      </c>
      <c r="V43" s="6">
        <v>16</v>
      </c>
      <c r="W43" s="6">
        <v>904</v>
      </c>
      <c r="X43" s="6">
        <v>913</v>
      </c>
      <c r="Y43" s="6">
        <v>1441</v>
      </c>
      <c r="Z43" s="6">
        <v>1332</v>
      </c>
      <c r="AA43" s="6">
        <v>25623</v>
      </c>
      <c r="AB43" s="6">
        <v>17571</v>
      </c>
      <c r="AC43" s="6">
        <v>1036</v>
      </c>
      <c r="AD43" s="6">
        <v>1058</v>
      </c>
      <c r="AE43" s="6">
        <v>1030</v>
      </c>
      <c r="AF43" s="6">
        <v>1045</v>
      </c>
    </row>
    <row r="44" spans="1:32">
      <c r="A44">
        <v>96</v>
      </c>
      <c r="C44" s="3" t="s">
        <v>68</v>
      </c>
      <c r="D44" s="3" t="s">
        <v>69</v>
      </c>
      <c r="E44" t="s">
        <v>43</v>
      </c>
      <c r="F44" t="s">
        <v>44</v>
      </c>
      <c r="G44" s="3" t="s">
        <v>6</v>
      </c>
      <c r="H44" s="8">
        <v>46251.330538854199</v>
      </c>
      <c r="I44" s="3">
        <v>81.58</v>
      </c>
      <c r="J44" s="3" t="s">
        <v>46</v>
      </c>
      <c r="K44" s="5">
        <v>32.1</v>
      </c>
      <c r="L44" s="5">
        <v>192</v>
      </c>
      <c r="M44" s="5">
        <v>206.9</v>
      </c>
      <c r="N44" s="6">
        <v>1250</v>
      </c>
      <c r="O44" s="6">
        <v>500</v>
      </c>
      <c r="P44" s="6">
        <v>4135</v>
      </c>
      <c r="Q44" s="6">
        <v>4402</v>
      </c>
      <c r="R44" s="7">
        <v>0.5</v>
      </c>
      <c r="S44" s="6">
        <v>1082</v>
      </c>
      <c r="T44" s="6">
        <v>1051</v>
      </c>
      <c r="U44" s="6">
        <v>4</v>
      </c>
      <c r="V44" s="6">
        <v>8</v>
      </c>
      <c r="W44" s="6">
        <v>822</v>
      </c>
      <c r="X44" s="6">
        <v>887</v>
      </c>
      <c r="Y44" s="6">
        <v>2105</v>
      </c>
      <c r="Z44" s="6">
        <v>2426</v>
      </c>
      <c r="AA44" s="6">
        <v>46662</v>
      </c>
      <c r="AB44" s="6">
        <v>37586</v>
      </c>
      <c r="AC44" s="6">
        <v>1051</v>
      </c>
      <c r="AD44" s="6">
        <v>1082</v>
      </c>
      <c r="AE44" s="6">
        <v>1051</v>
      </c>
      <c r="AF44" s="6">
        <v>1078</v>
      </c>
    </row>
    <row r="45" spans="1:32">
      <c r="A45">
        <v>96</v>
      </c>
      <c r="C45" s="3" t="s">
        <v>68</v>
      </c>
      <c r="D45" s="3" t="s">
        <v>69</v>
      </c>
      <c r="E45" t="s">
        <v>43</v>
      </c>
      <c r="F45" t="s">
        <v>44</v>
      </c>
      <c r="G45" s="3" t="s">
        <v>6</v>
      </c>
      <c r="H45" s="8">
        <v>46251.330538854199</v>
      </c>
      <c r="I45" s="3">
        <v>81.58</v>
      </c>
      <c r="J45" s="3" t="s">
        <v>47</v>
      </c>
      <c r="K45" s="5">
        <v>33.1</v>
      </c>
      <c r="L45" s="5">
        <v>189.7</v>
      </c>
      <c r="M45" s="5">
        <v>194.4</v>
      </c>
      <c r="N45" s="6">
        <v>0</v>
      </c>
      <c r="O45" s="6">
        <v>0</v>
      </c>
      <c r="P45" s="6">
        <v>4218</v>
      </c>
      <c r="Q45" s="6">
        <v>4850</v>
      </c>
      <c r="R45" s="7">
        <v>0.54</v>
      </c>
      <c r="S45" s="6">
        <v>1115</v>
      </c>
      <c r="T45" s="6">
        <v>1088</v>
      </c>
      <c r="U45" s="6">
        <v>4</v>
      </c>
      <c r="V45" s="6">
        <v>0</v>
      </c>
      <c r="W45" s="6">
        <v>885</v>
      </c>
      <c r="X45" s="6">
        <v>912</v>
      </c>
      <c r="Y45" s="6">
        <v>2105</v>
      </c>
      <c r="Z45" s="6">
        <v>1741</v>
      </c>
      <c r="AA45" s="6">
        <v>24877</v>
      </c>
      <c r="AB45" s="6">
        <v>33949</v>
      </c>
      <c r="AC45" s="6">
        <v>1088</v>
      </c>
      <c r="AD45" s="6">
        <v>1115</v>
      </c>
      <c r="AE45" s="6">
        <v>1088</v>
      </c>
      <c r="AF45" s="6">
        <v>1115</v>
      </c>
    </row>
    <row r="46" spans="1:32">
      <c r="A46">
        <v>93</v>
      </c>
      <c r="C46" s="3" t="s">
        <v>70</v>
      </c>
      <c r="D46" s="3" t="s">
        <v>71</v>
      </c>
      <c r="E46" t="s">
        <v>43</v>
      </c>
      <c r="F46" t="s">
        <v>44</v>
      </c>
      <c r="G46" s="3" t="s">
        <v>6</v>
      </c>
      <c r="H46" s="8">
        <v>46251.326196955997</v>
      </c>
      <c r="I46" s="3">
        <v>72.680000000000007</v>
      </c>
      <c r="J46" s="3" t="s">
        <v>45</v>
      </c>
      <c r="K46" s="5">
        <v>42.5</v>
      </c>
      <c r="L46" s="5">
        <v>193.6</v>
      </c>
      <c r="M46" s="5">
        <v>219.9</v>
      </c>
      <c r="N46" s="6">
        <v>296</v>
      </c>
      <c r="O46" s="6">
        <v>87</v>
      </c>
      <c r="P46" s="6">
        <v>1780</v>
      </c>
      <c r="Q46" s="6">
        <v>2035</v>
      </c>
      <c r="R46" s="7">
        <v>0.52</v>
      </c>
      <c r="S46" s="6">
        <v>873</v>
      </c>
      <c r="T46" s="6">
        <v>813</v>
      </c>
      <c r="U46" s="6">
        <v>206</v>
      </c>
      <c r="V46" s="6">
        <v>24</v>
      </c>
      <c r="W46" s="6">
        <v>764</v>
      </c>
      <c r="X46" s="6">
        <v>837</v>
      </c>
      <c r="Y46" s="6">
        <v>1569</v>
      </c>
      <c r="Z46" s="6">
        <v>1840</v>
      </c>
      <c r="AA46" s="6">
        <v>38327</v>
      </c>
      <c r="AB46" s="6">
        <v>26144</v>
      </c>
      <c r="AC46" s="6">
        <v>813</v>
      </c>
      <c r="AD46" s="6">
        <v>873</v>
      </c>
      <c r="AE46" s="6">
        <v>752</v>
      </c>
      <c r="AF46" s="6">
        <v>848</v>
      </c>
    </row>
    <row r="47" spans="1:32">
      <c r="A47">
        <v>93</v>
      </c>
      <c r="C47" s="3" t="s">
        <v>70</v>
      </c>
      <c r="D47" s="3" t="s">
        <v>71</v>
      </c>
      <c r="E47" t="s">
        <v>43</v>
      </c>
      <c r="F47" t="s">
        <v>44</v>
      </c>
      <c r="G47" s="3" t="s">
        <v>6</v>
      </c>
      <c r="H47" s="8">
        <v>46251.326196955997</v>
      </c>
      <c r="I47" s="3">
        <v>72.680000000000007</v>
      </c>
      <c r="J47" s="3" t="s">
        <v>46</v>
      </c>
      <c r="K47" s="5">
        <v>41.2</v>
      </c>
      <c r="L47" s="5">
        <v>188.9</v>
      </c>
      <c r="M47" s="5">
        <v>206.9</v>
      </c>
      <c r="N47" s="6">
        <v>600</v>
      </c>
      <c r="O47" s="6">
        <v>1400</v>
      </c>
      <c r="P47" s="6">
        <v>2354</v>
      </c>
      <c r="Q47" s="6">
        <v>2361</v>
      </c>
      <c r="R47" s="7">
        <v>0.54</v>
      </c>
      <c r="S47" s="6">
        <v>895</v>
      </c>
      <c r="T47" s="6">
        <v>862</v>
      </c>
      <c r="U47" s="6">
        <v>10</v>
      </c>
      <c r="V47" s="6">
        <v>14</v>
      </c>
      <c r="W47" s="6">
        <v>759</v>
      </c>
      <c r="X47" s="6">
        <v>829</v>
      </c>
      <c r="Y47" s="6">
        <v>2475</v>
      </c>
      <c r="Z47" s="6">
        <v>1971</v>
      </c>
      <c r="AA47" s="6">
        <v>39414</v>
      </c>
      <c r="AB47" s="6">
        <v>53796</v>
      </c>
      <c r="AC47" s="6">
        <v>862</v>
      </c>
      <c r="AD47" s="6">
        <v>895</v>
      </c>
      <c r="AE47" s="6">
        <v>856</v>
      </c>
      <c r="AF47" s="6">
        <v>876</v>
      </c>
    </row>
    <row r="48" spans="1:32">
      <c r="A48">
        <v>93</v>
      </c>
      <c r="C48" s="3" t="s">
        <v>70</v>
      </c>
      <c r="D48" s="3" t="s">
        <v>71</v>
      </c>
      <c r="E48" t="s">
        <v>43</v>
      </c>
      <c r="F48" t="s">
        <v>44</v>
      </c>
      <c r="G48" s="3" t="s">
        <v>6</v>
      </c>
      <c r="H48" s="8">
        <v>46251.326196955997</v>
      </c>
      <c r="I48" s="3">
        <v>72.680000000000007</v>
      </c>
      <c r="J48" s="3" t="s">
        <v>47</v>
      </c>
      <c r="K48" s="5">
        <v>42.5</v>
      </c>
      <c r="L48" s="5">
        <v>193.9</v>
      </c>
      <c r="M48" s="5">
        <v>217.6</v>
      </c>
      <c r="N48" s="6">
        <v>111</v>
      </c>
      <c r="O48" s="6">
        <v>611</v>
      </c>
      <c r="P48" s="6">
        <v>2332</v>
      </c>
      <c r="Q48" s="6">
        <v>2175</v>
      </c>
      <c r="R48" s="7">
        <v>0.54</v>
      </c>
      <c r="S48" s="6">
        <v>933</v>
      </c>
      <c r="T48" s="6">
        <v>858</v>
      </c>
      <c r="U48" s="6">
        <v>10</v>
      </c>
      <c r="V48" s="6">
        <v>18</v>
      </c>
      <c r="W48" s="6">
        <v>744</v>
      </c>
      <c r="X48" s="6">
        <v>814</v>
      </c>
      <c r="Y48" s="6">
        <v>1985</v>
      </c>
      <c r="Z48" s="6">
        <v>2479</v>
      </c>
      <c r="AA48" s="6">
        <v>56334</v>
      </c>
      <c r="AB48" s="6">
        <v>41347</v>
      </c>
      <c r="AC48" s="6">
        <v>858</v>
      </c>
      <c r="AD48" s="6">
        <v>933</v>
      </c>
      <c r="AE48" s="6">
        <v>853</v>
      </c>
      <c r="AF48" s="6">
        <v>922</v>
      </c>
    </row>
    <row r="49" spans="1:32">
      <c r="C49" s="3" t="s">
        <v>72</v>
      </c>
      <c r="D49" s="3" t="s">
        <v>73</v>
      </c>
      <c r="E49" t="s">
        <v>43</v>
      </c>
      <c r="F49" t="s">
        <v>44</v>
      </c>
      <c r="G49" s="3" t="s">
        <v>6</v>
      </c>
      <c r="H49" s="8">
        <v>46251.325509571798</v>
      </c>
      <c r="I49" s="3">
        <v>70.75</v>
      </c>
      <c r="J49" s="3" t="s">
        <v>45</v>
      </c>
      <c r="K49" s="5">
        <v>39.299999999999997</v>
      </c>
      <c r="L49" s="5">
        <v>179.5</v>
      </c>
      <c r="M49" s="5">
        <v>176.3</v>
      </c>
      <c r="N49" s="6">
        <v>750</v>
      </c>
      <c r="O49" s="6">
        <v>1000</v>
      </c>
      <c r="P49" s="6">
        <v>3345</v>
      </c>
      <c r="Q49" s="6">
        <v>3377</v>
      </c>
      <c r="R49" s="7">
        <v>0.54</v>
      </c>
      <c r="S49" s="6">
        <v>963</v>
      </c>
      <c r="T49" s="6">
        <v>924</v>
      </c>
      <c r="U49" s="6">
        <v>18</v>
      </c>
      <c r="V49" s="6">
        <v>16</v>
      </c>
      <c r="W49" s="6">
        <v>815</v>
      </c>
      <c r="X49" s="6">
        <v>788</v>
      </c>
      <c r="Y49" s="6">
        <v>1268</v>
      </c>
      <c r="Z49" s="6">
        <v>985</v>
      </c>
      <c r="AA49" s="6">
        <v>11731</v>
      </c>
      <c r="AB49" s="6">
        <v>15461</v>
      </c>
      <c r="AC49" s="6">
        <v>924</v>
      </c>
      <c r="AD49" s="6">
        <v>963</v>
      </c>
      <c r="AE49" s="6">
        <v>911</v>
      </c>
      <c r="AF49" s="6">
        <v>947</v>
      </c>
    </row>
    <row r="50" spans="1:32">
      <c r="C50" s="3" t="s">
        <v>72</v>
      </c>
      <c r="D50" s="3" t="s">
        <v>73</v>
      </c>
      <c r="E50" t="s">
        <v>43</v>
      </c>
      <c r="F50" t="s">
        <v>44</v>
      </c>
      <c r="G50" s="3" t="s">
        <v>6</v>
      </c>
      <c r="H50" s="8">
        <v>46251.325509571798</v>
      </c>
      <c r="I50" s="3">
        <v>70.75</v>
      </c>
      <c r="J50" s="3" t="s">
        <v>46</v>
      </c>
      <c r="K50" s="5">
        <v>36.6</v>
      </c>
      <c r="L50" s="5">
        <v>188.3</v>
      </c>
      <c r="M50" s="5">
        <v>173.8</v>
      </c>
      <c r="N50" s="6">
        <v>0</v>
      </c>
      <c r="O50" s="6">
        <v>0</v>
      </c>
      <c r="P50" s="6">
        <v>3864</v>
      </c>
      <c r="Q50" s="6">
        <v>3523</v>
      </c>
      <c r="R50" s="7">
        <v>0.53</v>
      </c>
      <c r="S50" s="6">
        <v>924</v>
      </c>
      <c r="T50" s="6">
        <v>985</v>
      </c>
      <c r="U50" s="6">
        <v>0</v>
      </c>
      <c r="V50" s="6">
        <v>4</v>
      </c>
      <c r="W50" s="6">
        <v>767</v>
      </c>
      <c r="X50" s="6">
        <v>723</v>
      </c>
      <c r="Y50" s="6">
        <v>1556</v>
      </c>
      <c r="Z50" s="6">
        <v>1419</v>
      </c>
      <c r="AA50" s="6">
        <v>27296</v>
      </c>
      <c r="AB50" s="6">
        <v>31116</v>
      </c>
      <c r="AC50" s="6">
        <v>980</v>
      </c>
      <c r="AD50" s="6">
        <v>924</v>
      </c>
      <c r="AE50" s="6">
        <v>985</v>
      </c>
      <c r="AF50" s="6">
        <v>923</v>
      </c>
    </row>
    <row r="51" spans="1:32">
      <c r="C51" s="3" t="s">
        <v>72</v>
      </c>
      <c r="D51" s="3" t="s">
        <v>73</v>
      </c>
      <c r="E51" t="s">
        <v>43</v>
      </c>
      <c r="F51" t="s">
        <v>44</v>
      </c>
      <c r="G51" s="3" t="s">
        <v>6</v>
      </c>
      <c r="H51" s="8">
        <v>46251.325509571798</v>
      </c>
      <c r="I51" s="3">
        <v>70.75</v>
      </c>
      <c r="J51" s="3" t="s">
        <v>47</v>
      </c>
      <c r="K51" s="5">
        <v>37.700000000000003</v>
      </c>
      <c r="L51" s="5">
        <v>194.7</v>
      </c>
      <c r="M51" s="5">
        <v>178.4</v>
      </c>
      <c r="N51" s="6">
        <v>0</v>
      </c>
      <c r="O51" s="6">
        <v>0</v>
      </c>
      <c r="P51" s="6">
        <v>3434</v>
      </c>
      <c r="Q51" s="6">
        <v>3140</v>
      </c>
      <c r="R51" s="7">
        <v>0.47</v>
      </c>
      <c r="S51" s="6">
        <v>866</v>
      </c>
      <c r="T51" s="6">
        <v>960</v>
      </c>
      <c r="U51" s="6">
        <v>0</v>
      </c>
      <c r="V51" s="6">
        <v>4</v>
      </c>
      <c r="W51" s="6">
        <v>762</v>
      </c>
      <c r="X51" s="6">
        <v>717</v>
      </c>
      <c r="Y51" s="6">
        <v>1758</v>
      </c>
      <c r="Z51" s="6">
        <v>1287</v>
      </c>
      <c r="AA51" s="6">
        <v>17881</v>
      </c>
      <c r="AB51" s="6">
        <v>27466</v>
      </c>
      <c r="AC51" s="6">
        <v>955</v>
      </c>
      <c r="AD51" s="6">
        <v>866</v>
      </c>
      <c r="AE51" s="6">
        <v>960</v>
      </c>
      <c r="AF51" s="6">
        <v>866</v>
      </c>
    </row>
    <row r="52" spans="1:32">
      <c r="A52">
        <v>89</v>
      </c>
      <c r="C52" s="3" t="s">
        <v>74</v>
      </c>
      <c r="D52" s="3" t="s">
        <v>75</v>
      </c>
      <c r="E52" t="s">
        <v>43</v>
      </c>
      <c r="F52" t="s">
        <v>44</v>
      </c>
      <c r="G52" s="3" t="s">
        <v>6</v>
      </c>
      <c r="H52" s="8">
        <v>46251.319494756899</v>
      </c>
      <c r="I52" s="3">
        <v>82.42</v>
      </c>
      <c r="J52" s="3" t="s">
        <v>45</v>
      </c>
      <c r="K52" s="5">
        <v>45</v>
      </c>
      <c r="L52" s="5">
        <v>251.3</v>
      </c>
      <c r="M52" s="5">
        <v>212.8</v>
      </c>
      <c r="N52" s="6">
        <v>1000</v>
      </c>
      <c r="O52" s="6">
        <v>750</v>
      </c>
      <c r="P52" s="6">
        <v>3142</v>
      </c>
      <c r="Q52" s="6">
        <v>2516</v>
      </c>
      <c r="R52" s="7">
        <v>0.54</v>
      </c>
      <c r="S52" s="6">
        <v>964</v>
      </c>
      <c r="T52" s="6">
        <v>1187</v>
      </c>
      <c r="U52" s="6">
        <v>8</v>
      </c>
      <c r="V52" s="6">
        <v>8</v>
      </c>
      <c r="W52" s="6">
        <v>935</v>
      </c>
      <c r="X52" s="6">
        <v>856</v>
      </c>
      <c r="Y52" s="6">
        <v>2012</v>
      </c>
      <c r="Z52" s="6">
        <v>1880</v>
      </c>
      <c r="AA52" s="6">
        <v>30318</v>
      </c>
      <c r="AB52" s="6">
        <v>35922</v>
      </c>
      <c r="AC52" s="6">
        <v>1187</v>
      </c>
      <c r="AD52" s="6">
        <v>964</v>
      </c>
      <c r="AE52" s="6">
        <v>1179</v>
      </c>
      <c r="AF52" s="6">
        <v>958</v>
      </c>
    </row>
    <row r="53" spans="1:32">
      <c r="A53">
        <v>89</v>
      </c>
      <c r="C53" s="3" t="s">
        <v>74</v>
      </c>
      <c r="D53" s="3" t="s">
        <v>75</v>
      </c>
      <c r="E53" t="s">
        <v>43</v>
      </c>
      <c r="F53" t="s">
        <v>44</v>
      </c>
      <c r="G53" s="3" t="s">
        <v>6</v>
      </c>
      <c r="H53" s="8">
        <v>46251.319494756899</v>
      </c>
      <c r="I53" s="3">
        <v>82.42</v>
      </c>
      <c r="J53" s="3" t="s">
        <v>46</v>
      </c>
      <c r="K53" s="5">
        <v>46.3</v>
      </c>
      <c r="L53" s="5">
        <v>258.60000000000002</v>
      </c>
      <c r="M53" s="5">
        <v>208.7</v>
      </c>
      <c r="N53" s="6">
        <v>1400</v>
      </c>
      <c r="O53" s="6">
        <v>-100</v>
      </c>
      <c r="P53" s="6">
        <v>3808</v>
      </c>
      <c r="Q53" s="6">
        <v>2231</v>
      </c>
      <c r="R53" s="7">
        <v>0.57999999999999996</v>
      </c>
      <c r="S53" s="6">
        <v>936</v>
      </c>
      <c r="T53" s="6">
        <v>1288</v>
      </c>
      <c r="U53" s="6">
        <v>10</v>
      </c>
      <c r="V53" s="6">
        <v>0</v>
      </c>
      <c r="W53" s="6">
        <v>922</v>
      </c>
      <c r="X53" s="6">
        <v>843</v>
      </c>
      <c r="Y53" s="6">
        <v>1635</v>
      </c>
      <c r="Z53" s="6">
        <v>1405</v>
      </c>
      <c r="AA53" s="6">
        <v>18483</v>
      </c>
      <c r="AB53" s="6">
        <v>23352</v>
      </c>
      <c r="AC53" s="6">
        <v>1288</v>
      </c>
      <c r="AD53" s="6">
        <v>936</v>
      </c>
      <c r="AE53" s="6">
        <v>1274</v>
      </c>
      <c r="AF53" s="6">
        <v>936</v>
      </c>
    </row>
    <row r="54" spans="1:32">
      <c r="A54">
        <v>89</v>
      </c>
      <c r="C54" s="3" t="s">
        <v>74</v>
      </c>
      <c r="D54" s="3" t="s">
        <v>75</v>
      </c>
      <c r="E54" t="s">
        <v>43</v>
      </c>
      <c r="F54" t="s">
        <v>44</v>
      </c>
      <c r="G54" s="3" t="s">
        <v>6</v>
      </c>
      <c r="H54" s="8">
        <v>46251.319494756899</v>
      </c>
      <c r="I54" s="3">
        <v>82.42</v>
      </c>
      <c r="J54" s="3" t="s">
        <v>47</v>
      </c>
      <c r="K54" s="5">
        <v>45.2</v>
      </c>
      <c r="L54" s="5">
        <v>245.3</v>
      </c>
      <c r="M54" s="5">
        <v>220.6</v>
      </c>
      <c r="N54" s="6">
        <v>500</v>
      </c>
      <c r="O54" s="6">
        <v>500</v>
      </c>
      <c r="P54" s="6">
        <v>3296</v>
      </c>
      <c r="Q54" s="6">
        <v>2596</v>
      </c>
      <c r="R54" s="7">
        <v>0.55000000000000004</v>
      </c>
      <c r="S54" s="6">
        <v>1062</v>
      </c>
      <c r="T54" s="6">
        <v>1207</v>
      </c>
      <c r="U54" s="6">
        <v>2</v>
      </c>
      <c r="V54" s="6">
        <v>2</v>
      </c>
      <c r="W54" s="6">
        <v>888</v>
      </c>
      <c r="X54" s="6">
        <v>818</v>
      </c>
      <c r="Y54" s="6">
        <v>2658</v>
      </c>
      <c r="Z54" s="6">
        <v>2507</v>
      </c>
      <c r="AA54" s="6">
        <v>44763</v>
      </c>
      <c r="AB54" s="6">
        <v>49215</v>
      </c>
      <c r="AC54" s="6">
        <v>1207</v>
      </c>
      <c r="AD54" s="6">
        <v>1062</v>
      </c>
      <c r="AE54" s="6">
        <v>1206</v>
      </c>
      <c r="AF54" s="6">
        <v>1061</v>
      </c>
    </row>
    <row r="55" spans="1:32">
      <c r="C55" s="3"/>
      <c r="D55" s="3"/>
      <c r="E55" s="3"/>
      <c r="F55" s="3"/>
      <c r="G55" s="3"/>
      <c r="H55" s="8"/>
      <c r="I55" s="3"/>
      <c r="J55" s="3"/>
      <c r="K55" s="5"/>
      <c r="L55" s="5"/>
      <c r="M55" s="5"/>
      <c r="N55" s="6"/>
      <c r="O55" s="6"/>
      <c r="P55" s="6"/>
      <c r="Q55" s="6"/>
      <c r="R55" s="7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>
      <c r="C56" s="3"/>
      <c r="D56" s="3"/>
      <c r="E56" s="3"/>
      <c r="F56" s="3"/>
      <c r="G56" s="3"/>
      <c r="H56" s="8"/>
      <c r="I56" s="3"/>
      <c r="J56" s="3"/>
      <c r="K56" s="5"/>
      <c r="L56" s="5"/>
      <c r="M56" s="5"/>
      <c r="N56" s="6"/>
      <c r="O56" s="6"/>
      <c r="P56" s="6"/>
      <c r="Q56" s="6"/>
      <c r="R56" s="7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>
      <c r="C57" s="3"/>
      <c r="D57" s="3"/>
      <c r="E57" s="3"/>
      <c r="F57" s="3"/>
      <c r="G57" s="3"/>
      <c r="H57" s="8"/>
      <c r="I57" s="3"/>
      <c r="J57" s="3"/>
      <c r="K57" s="5"/>
      <c r="L57" s="5"/>
      <c r="M57" s="5"/>
      <c r="N57" s="6"/>
      <c r="O57" s="6"/>
      <c r="P57" s="6"/>
      <c r="Q57" s="6"/>
      <c r="R57" s="7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>
      <c r="C58" s="3"/>
      <c r="D58" s="3"/>
      <c r="E58" s="3"/>
      <c r="F58" s="3"/>
      <c r="G58" s="3"/>
      <c r="H58" s="8"/>
      <c r="I58" s="3"/>
      <c r="J58" s="3"/>
      <c r="K58" s="5"/>
      <c r="L58" s="5"/>
      <c r="M58" s="5"/>
      <c r="N58" s="6"/>
      <c r="O58" s="6"/>
      <c r="P58" s="6"/>
      <c r="Q58" s="6"/>
      <c r="R58" s="7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>
      <c r="C59" s="3"/>
      <c r="D59" s="3"/>
      <c r="E59" s="3"/>
      <c r="F59" s="3"/>
      <c r="G59" s="3"/>
      <c r="H59" s="8"/>
      <c r="I59" s="3"/>
      <c r="J59" s="3"/>
      <c r="K59" s="5"/>
      <c r="L59" s="5"/>
      <c r="M59" s="5"/>
      <c r="N59" s="6"/>
      <c r="O59" s="6"/>
      <c r="P59" s="6"/>
      <c r="Q59" s="6"/>
      <c r="R59" s="7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>
      <c r="C60" s="3"/>
      <c r="D60" s="3"/>
      <c r="E60" s="3"/>
      <c r="F60" s="3"/>
      <c r="G60" s="3"/>
      <c r="H60" s="8"/>
      <c r="I60" s="3"/>
      <c r="J60" s="3"/>
      <c r="K60" s="5"/>
      <c r="L60" s="5"/>
      <c r="M60" s="5"/>
      <c r="N60" s="6"/>
      <c r="O60" s="6"/>
      <c r="P60" s="6"/>
      <c r="Q60" s="6"/>
      <c r="R60" s="7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>
      <c r="C61" s="3"/>
      <c r="D61" s="3"/>
      <c r="E61" s="3"/>
      <c r="F61" s="3"/>
      <c r="G61" s="3"/>
      <c r="H61" s="8"/>
      <c r="I61" s="3"/>
      <c r="J61" s="3"/>
      <c r="K61" s="5"/>
      <c r="L61" s="5"/>
      <c r="M61" s="5"/>
      <c r="N61" s="6"/>
      <c r="O61" s="6"/>
      <c r="P61" s="6"/>
      <c r="Q61" s="6"/>
      <c r="R61" s="7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>
      <c r="C62" s="3"/>
      <c r="D62" s="3"/>
      <c r="E62" s="3"/>
      <c r="F62" s="3"/>
      <c r="G62" s="3"/>
      <c r="H62" s="8"/>
      <c r="I62" s="3"/>
      <c r="J62" s="3"/>
      <c r="K62" s="5"/>
      <c r="L62" s="5"/>
      <c r="M62" s="5"/>
      <c r="N62" s="6"/>
      <c r="O62" s="6"/>
      <c r="P62" s="6"/>
      <c r="Q62" s="6"/>
      <c r="R62" s="7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>
      <c r="C63" s="3"/>
      <c r="D63" s="3"/>
      <c r="E63" s="3"/>
      <c r="F63" s="3"/>
      <c r="G63" s="3"/>
      <c r="H63" s="8"/>
      <c r="I63" s="3"/>
      <c r="J63" s="3"/>
      <c r="K63" s="5"/>
      <c r="L63" s="5"/>
      <c r="M63" s="5"/>
      <c r="N63" s="6"/>
      <c r="O63" s="6"/>
      <c r="P63" s="6"/>
      <c r="Q63" s="6"/>
      <c r="R63" s="7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>
      <c r="C64" s="3"/>
      <c r="D64" s="3"/>
      <c r="E64" s="3"/>
      <c r="F64" s="3"/>
      <c r="G64" s="3"/>
      <c r="H64" s="8"/>
      <c r="I64" s="3"/>
      <c r="J64" s="3"/>
      <c r="K64" s="5"/>
      <c r="L64" s="5"/>
      <c r="M64" s="5"/>
      <c r="N64" s="6"/>
      <c r="O64" s="6"/>
      <c r="P64" s="6"/>
      <c r="Q64" s="6"/>
      <c r="R64" s="7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3:32">
      <c r="C65" s="3"/>
      <c r="D65" s="3"/>
      <c r="E65" s="3"/>
      <c r="F65" s="3"/>
      <c r="G65" s="3"/>
      <c r="H65" s="8"/>
      <c r="I65" s="3"/>
      <c r="J65" s="3"/>
      <c r="K65" s="5"/>
      <c r="L65" s="5"/>
      <c r="M65" s="5"/>
      <c r="N65" s="6"/>
      <c r="O65" s="6"/>
      <c r="P65" s="6"/>
      <c r="Q65" s="6"/>
      <c r="R65" s="7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3:32">
      <c r="C66" s="3"/>
      <c r="D66" s="3"/>
      <c r="E66" s="3"/>
      <c r="F66" s="3"/>
      <c r="G66" s="3"/>
      <c r="H66" s="8"/>
      <c r="I66" s="3"/>
      <c r="J66" s="3"/>
      <c r="K66" s="5"/>
      <c r="L66" s="5"/>
      <c r="M66" s="5"/>
      <c r="N66" s="6"/>
      <c r="O66" s="6"/>
      <c r="P66" s="6"/>
      <c r="Q66" s="6"/>
      <c r="R66" s="7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3:32">
      <c r="C67" s="3"/>
      <c r="D67" s="3"/>
      <c r="E67" s="3"/>
      <c r="F67" s="3"/>
      <c r="G67" s="3"/>
      <c r="H67" s="8"/>
      <c r="I67" s="3"/>
      <c r="J67" s="3"/>
      <c r="K67" s="5"/>
      <c r="L67" s="5"/>
      <c r="M67" s="5"/>
      <c r="N67" s="6"/>
      <c r="O67" s="6"/>
      <c r="P67" s="6"/>
      <c r="Q67" s="6"/>
      <c r="R67" s="7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3:32">
      <c r="C68" s="3"/>
      <c r="D68" s="3"/>
      <c r="E68" s="3"/>
      <c r="F68" s="3"/>
      <c r="G68" s="3"/>
      <c r="H68" s="8"/>
      <c r="I68" s="3"/>
      <c r="J68" s="3"/>
      <c r="K68" s="5"/>
      <c r="L68" s="5"/>
      <c r="M68" s="5"/>
      <c r="N68" s="6"/>
      <c r="O68" s="6"/>
      <c r="P68" s="6"/>
      <c r="Q68" s="6"/>
      <c r="R68" s="7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3:32">
      <c r="C69" s="3"/>
      <c r="D69" s="3"/>
      <c r="E69" s="3"/>
      <c r="F69" s="3"/>
      <c r="G69" s="3"/>
      <c r="H69" s="8"/>
      <c r="I69" s="3"/>
      <c r="J69" s="3"/>
      <c r="K69" s="5"/>
      <c r="L69" s="5"/>
      <c r="M69" s="5"/>
      <c r="N69" s="6"/>
      <c r="O69" s="6"/>
      <c r="P69" s="6"/>
      <c r="Q69" s="6"/>
      <c r="R69" s="7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3:32">
      <c r="C70" s="3"/>
      <c r="D70" s="3"/>
      <c r="E70" s="3"/>
      <c r="F70" s="3"/>
      <c r="G70" s="3"/>
      <c r="H70" s="8"/>
      <c r="I70" s="3"/>
      <c r="J70" s="3"/>
      <c r="K70" s="5"/>
      <c r="L70" s="5"/>
      <c r="M70" s="5"/>
      <c r="N70" s="6"/>
      <c r="O70" s="6"/>
      <c r="P70" s="6"/>
      <c r="Q70" s="6"/>
      <c r="R70" s="7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3:32">
      <c r="C71" s="3"/>
      <c r="D71" s="3"/>
      <c r="E71" s="3"/>
      <c r="F71" s="3"/>
      <c r="G71" s="3"/>
      <c r="H71" s="8"/>
      <c r="I71" s="3"/>
      <c r="J71" s="3"/>
      <c r="K71" s="5"/>
      <c r="L71" s="5"/>
      <c r="M71" s="5"/>
      <c r="N71" s="6"/>
      <c r="O71" s="6"/>
      <c r="P71" s="6"/>
      <c r="Q71" s="6"/>
      <c r="R71" s="7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3:32">
      <c r="C72" s="3"/>
      <c r="D72" s="3"/>
      <c r="E72" s="3"/>
      <c r="F72" s="3"/>
      <c r="G72" s="3"/>
      <c r="H72" s="8"/>
      <c r="I72" s="3"/>
      <c r="J72" s="3"/>
      <c r="K72" s="5"/>
      <c r="L72" s="5"/>
      <c r="M72" s="5"/>
      <c r="N72" s="6"/>
      <c r="O72" s="6"/>
      <c r="P72" s="6"/>
      <c r="Q72" s="6"/>
      <c r="R72" s="7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3:32">
      <c r="C73" s="3"/>
      <c r="D73" s="3"/>
      <c r="E73" s="3"/>
      <c r="F73" s="3"/>
      <c r="G73" s="3"/>
      <c r="H73" s="8"/>
      <c r="I73" s="3"/>
      <c r="J73" s="3"/>
      <c r="K73" s="5"/>
      <c r="L73" s="5"/>
      <c r="M73" s="5"/>
      <c r="N73" s="6"/>
      <c r="O73" s="6"/>
      <c r="P73" s="6"/>
      <c r="Q73" s="6"/>
      <c r="R73" s="7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3:32">
      <c r="C74" s="3"/>
      <c r="D74" s="3"/>
      <c r="E74" s="3"/>
      <c r="F74" s="3"/>
      <c r="G74" s="3"/>
      <c r="H74" s="8"/>
      <c r="I74" s="3"/>
      <c r="J74" s="3"/>
      <c r="K74" s="5"/>
      <c r="L74" s="5"/>
      <c r="M74" s="5"/>
      <c r="N74" s="6"/>
      <c r="O74" s="6"/>
      <c r="P74" s="6"/>
      <c r="Q74" s="6"/>
      <c r="R74" s="7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3:32">
      <c r="C75" s="3"/>
      <c r="D75" s="3"/>
      <c r="E75" s="3"/>
      <c r="F75" s="3"/>
      <c r="G75" s="3"/>
      <c r="H75" s="8"/>
      <c r="I75" s="3"/>
      <c r="J75" s="3"/>
      <c r="K75" s="5"/>
      <c r="L75" s="5"/>
      <c r="M75" s="5"/>
      <c r="N75" s="6"/>
      <c r="O75" s="6"/>
      <c r="P75" s="6"/>
      <c r="Q75" s="6"/>
      <c r="R75" s="7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3:32">
      <c r="C76" s="3"/>
      <c r="D76" s="3"/>
      <c r="E76" s="3"/>
      <c r="F76" s="3"/>
      <c r="G76" s="3"/>
      <c r="H76" s="8"/>
      <c r="I76" s="3"/>
      <c r="J76" s="3"/>
      <c r="K76" s="5"/>
      <c r="L76" s="5"/>
      <c r="M76" s="5"/>
      <c r="N76" s="6"/>
      <c r="O76" s="6"/>
      <c r="P76" s="6"/>
      <c r="Q76" s="6"/>
      <c r="R76" s="7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3:32">
      <c r="C77" s="3"/>
      <c r="D77" s="3"/>
      <c r="E77" s="3"/>
      <c r="F77" s="3"/>
      <c r="G77" s="3"/>
      <c r="H77" s="8"/>
      <c r="I77" s="3"/>
      <c r="J77" s="3"/>
      <c r="K77" s="5"/>
      <c r="L77" s="5"/>
      <c r="M77" s="5"/>
      <c r="N77" s="6"/>
      <c r="O77" s="6"/>
      <c r="P77" s="6"/>
      <c r="Q77" s="6"/>
      <c r="R77" s="7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3:32">
      <c r="C78" s="3"/>
      <c r="D78" s="3"/>
      <c r="E78" s="3"/>
      <c r="F78" s="3"/>
      <c r="G78" s="3"/>
      <c r="H78" s="8"/>
      <c r="I78" s="3"/>
      <c r="J78" s="3"/>
      <c r="K78" s="5"/>
      <c r="L78" s="5"/>
      <c r="M78" s="5"/>
      <c r="N78" s="6"/>
      <c r="O78" s="6"/>
      <c r="P78" s="6"/>
      <c r="Q78" s="6"/>
      <c r="R78" s="7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3:32">
      <c r="C79" s="3"/>
      <c r="D79" s="3"/>
      <c r="E79" s="3"/>
      <c r="F79" s="3"/>
      <c r="G79" s="3"/>
      <c r="H79" s="8"/>
      <c r="I79" s="3"/>
      <c r="J79" s="3"/>
      <c r="K79" s="5"/>
      <c r="L79" s="5"/>
      <c r="M79" s="5"/>
      <c r="N79" s="6"/>
      <c r="O79" s="6"/>
      <c r="P79" s="6"/>
      <c r="Q79" s="6"/>
      <c r="R79" s="7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3:32">
      <c r="C80" s="3"/>
      <c r="D80" s="3"/>
      <c r="E80" s="3"/>
      <c r="F80" s="3"/>
      <c r="G80" s="3"/>
      <c r="H80" s="8"/>
      <c r="I80" s="3"/>
      <c r="J80" s="3"/>
      <c r="K80" s="5"/>
      <c r="L80" s="5"/>
      <c r="M80" s="5"/>
      <c r="N80" s="6"/>
      <c r="O80" s="6"/>
      <c r="P80" s="6"/>
      <c r="Q80" s="6"/>
      <c r="R80" s="7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3:32">
      <c r="C81" s="3"/>
      <c r="D81" s="3"/>
      <c r="E81" s="3"/>
      <c r="F81" s="3"/>
      <c r="G81" s="3"/>
      <c r="H81" s="8"/>
      <c r="I81" s="3"/>
      <c r="J81" s="3"/>
      <c r="K81" s="5"/>
      <c r="L81" s="5"/>
      <c r="M81" s="5"/>
      <c r="N81" s="6"/>
      <c r="O81" s="6"/>
      <c r="P81" s="6"/>
      <c r="Q81" s="6"/>
      <c r="R81" s="7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3:32">
      <c r="C82" s="3"/>
      <c r="D82" s="3"/>
      <c r="G82" s="3"/>
      <c r="H82" s="8"/>
      <c r="I82" s="3"/>
      <c r="J82" s="3"/>
      <c r="K82" s="5"/>
      <c r="L82" s="5"/>
      <c r="M82" s="5"/>
      <c r="N82" s="6"/>
      <c r="O82" s="6"/>
      <c r="P82" s="6"/>
      <c r="Q82" s="6"/>
      <c r="R82" s="7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3:32">
      <c r="C83" s="3"/>
      <c r="D83" s="3"/>
      <c r="G83" s="3"/>
      <c r="H83" s="8"/>
      <c r="I83" s="3"/>
      <c r="J83" s="3"/>
      <c r="K83" s="5"/>
      <c r="L83" s="5"/>
      <c r="M83" s="5"/>
      <c r="N83" s="6"/>
      <c r="O83" s="6"/>
      <c r="P83" s="6"/>
      <c r="Q83" s="6"/>
      <c r="R83" s="7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3:32">
      <c r="C84" s="3"/>
      <c r="D84" s="3"/>
      <c r="G84" s="3"/>
      <c r="H84" s="8"/>
      <c r="I84" s="3"/>
      <c r="J84" s="3"/>
      <c r="K84" s="5"/>
      <c r="L84" s="5"/>
      <c r="M84" s="5"/>
      <c r="N84" s="6"/>
      <c r="O84" s="6"/>
      <c r="P84" s="6"/>
      <c r="Q84" s="6"/>
      <c r="R84" s="7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3:32">
      <c r="C85" s="3"/>
      <c r="D85" s="3"/>
      <c r="G85" s="3"/>
      <c r="H85" s="8"/>
      <c r="I85" s="3"/>
      <c r="J85" s="3"/>
      <c r="K85" s="5"/>
      <c r="L85" s="5"/>
      <c r="M85" s="5"/>
      <c r="N85" s="6"/>
      <c r="O85" s="6"/>
      <c r="P85" s="6"/>
      <c r="Q85" s="6"/>
      <c r="R85" s="7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3:32">
      <c r="C86" s="3"/>
      <c r="D86" s="3"/>
      <c r="G86" s="3"/>
      <c r="H86" s="8"/>
      <c r="I86" s="3"/>
      <c r="J86" s="3"/>
      <c r="K86" s="5"/>
      <c r="L86" s="5"/>
      <c r="M86" s="5"/>
      <c r="N86" s="6"/>
      <c r="O86" s="6"/>
      <c r="P86" s="6"/>
      <c r="Q86" s="6"/>
      <c r="R86" s="7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3:32">
      <c r="C87" s="3"/>
      <c r="D87" s="3"/>
      <c r="G87" s="3"/>
      <c r="H87" s="8"/>
      <c r="I87" s="3"/>
      <c r="J87" s="3"/>
      <c r="K87" s="5"/>
      <c r="L87" s="5"/>
      <c r="M87" s="5"/>
      <c r="N87" s="6"/>
      <c r="O87" s="6"/>
      <c r="P87" s="6"/>
      <c r="Q87" s="6"/>
      <c r="R87" s="7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3:32">
      <c r="C88" s="3"/>
      <c r="D88" s="3"/>
      <c r="G88" s="3"/>
      <c r="H88" s="8"/>
      <c r="I88" s="3"/>
      <c r="J88" s="3"/>
      <c r="K88" s="5"/>
      <c r="L88" s="5"/>
      <c r="M88" s="5"/>
      <c r="N88" s="6"/>
      <c r="O88" s="6"/>
      <c r="P88" s="6"/>
      <c r="Q88" s="6"/>
      <c r="R88" s="7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3:32">
      <c r="C89" s="3"/>
      <c r="D89" s="3"/>
      <c r="G89" s="3"/>
      <c r="H89" s="8"/>
      <c r="I89" s="3"/>
      <c r="J89" s="3"/>
      <c r="K89" s="5"/>
      <c r="L89" s="5"/>
      <c r="M89" s="5"/>
      <c r="N89" s="6"/>
      <c r="O89" s="6"/>
      <c r="P89" s="6"/>
      <c r="Q89" s="6"/>
      <c r="R89" s="7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3:32">
      <c r="C90" s="3"/>
      <c r="D90" s="3"/>
      <c r="G90" s="3"/>
      <c r="H90" s="8"/>
      <c r="I90" s="3"/>
      <c r="J90" s="3"/>
      <c r="K90" s="5"/>
      <c r="L90" s="5"/>
      <c r="M90" s="5"/>
      <c r="N90" s="6"/>
      <c r="O90" s="6"/>
      <c r="P90" s="6"/>
      <c r="Q90" s="6"/>
      <c r="R90" s="7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3:32">
      <c r="C91" s="3"/>
      <c r="D91" s="3"/>
      <c r="G91" s="3"/>
      <c r="H91" s="8"/>
      <c r="I91" s="3"/>
      <c r="J91" s="3"/>
      <c r="K91" s="5"/>
      <c r="L91" s="5"/>
      <c r="M91" s="5"/>
      <c r="N91" s="6"/>
      <c r="O91" s="6"/>
      <c r="P91" s="6"/>
      <c r="Q91" s="6"/>
      <c r="R91" s="7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3:32">
      <c r="C92" s="3"/>
      <c r="D92" s="3"/>
      <c r="G92" s="3"/>
      <c r="H92" s="8"/>
      <c r="I92" s="3"/>
      <c r="J92" s="3"/>
      <c r="K92" s="5"/>
      <c r="L92" s="5"/>
      <c r="M92" s="5"/>
      <c r="N92" s="6"/>
      <c r="O92" s="6"/>
      <c r="P92" s="6"/>
      <c r="Q92" s="6"/>
      <c r="R92" s="7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3:32">
      <c r="C93" s="3"/>
      <c r="D93" s="3"/>
      <c r="G93" s="3"/>
      <c r="H93" s="8"/>
      <c r="I93" s="3"/>
      <c r="J93" s="3"/>
      <c r="K93" s="5"/>
      <c r="L93" s="5"/>
      <c r="M93" s="5"/>
      <c r="N93" s="6"/>
      <c r="O93" s="6"/>
      <c r="P93" s="6"/>
      <c r="Q93" s="6"/>
      <c r="R93" s="7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3:32">
      <c r="C94" s="3"/>
      <c r="D94" s="3"/>
      <c r="G94" s="3"/>
      <c r="H94" s="8"/>
      <c r="I94" s="3"/>
      <c r="J94" s="3"/>
      <c r="K94" s="5"/>
      <c r="L94" s="5"/>
      <c r="M94" s="5"/>
      <c r="N94" s="6"/>
      <c r="O94" s="6"/>
      <c r="P94" s="6"/>
      <c r="Q94" s="6"/>
      <c r="R94" s="7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3:32">
      <c r="C95" s="3"/>
      <c r="D95" s="3"/>
      <c r="G95" s="3"/>
      <c r="H95" s="8"/>
      <c r="I95" s="3"/>
      <c r="J95" s="3"/>
      <c r="K95" s="5"/>
      <c r="L95" s="5"/>
      <c r="M95" s="5"/>
      <c r="N95" s="6"/>
      <c r="O95" s="6"/>
      <c r="P95" s="6"/>
      <c r="Q95" s="6"/>
      <c r="R95" s="7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3:32">
      <c r="C96" s="3"/>
      <c r="D96" s="3"/>
      <c r="G96" s="3"/>
      <c r="H96" s="8"/>
      <c r="I96" s="3"/>
      <c r="J96" s="3"/>
      <c r="K96" s="5"/>
      <c r="L96" s="5"/>
      <c r="M96" s="5"/>
      <c r="N96" s="6"/>
      <c r="O96" s="6"/>
      <c r="P96" s="6"/>
      <c r="Q96" s="6"/>
      <c r="R96" s="7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3:32">
      <c r="C97" s="3"/>
      <c r="D97" s="3"/>
      <c r="G97" s="3"/>
      <c r="H97" s="8"/>
      <c r="I97" s="3"/>
      <c r="J97" s="3"/>
      <c r="K97" s="5"/>
      <c r="L97" s="5"/>
      <c r="M97" s="5"/>
      <c r="N97" s="6"/>
      <c r="O97" s="6"/>
      <c r="P97" s="6"/>
      <c r="Q97" s="6"/>
      <c r="R97" s="7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3:32">
      <c r="C98" s="3"/>
      <c r="D98" s="3"/>
      <c r="G98" s="3"/>
      <c r="H98" s="8"/>
      <c r="I98" s="3"/>
      <c r="J98" s="3"/>
      <c r="K98" s="5"/>
      <c r="L98" s="5"/>
      <c r="M98" s="5"/>
      <c r="N98" s="6"/>
      <c r="O98" s="6"/>
      <c r="P98" s="6"/>
      <c r="Q98" s="6"/>
      <c r="R98" s="7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3:32">
      <c r="C99" s="3"/>
      <c r="D99" s="3"/>
      <c r="G99" s="3"/>
      <c r="H99" s="8"/>
      <c r="I99" s="3"/>
      <c r="J99" s="3"/>
      <c r="K99" s="5"/>
      <c r="L99" s="5"/>
      <c r="M99" s="5"/>
      <c r="N99" s="6"/>
      <c r="O99" s="6"/>
      <c r="P99" s="6"/>
      <c r="Q99" s="6"/>
      <c r="R99" s="7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3:32">
      <c r="C100" s="3"/>
      <c r="D100" s="3"/>
      <c r="G100" s="3"/>
      <c r="H100" s="8"/>
      <c r="I100" s="3"/>
      <c r="J100" s="3"/>
      <c r="K100" s="5"/>
      <c r="L100" s="5"/>
      <c r="M100" s="5"/>
      <c r="N100" s="6"/>
      <c r="O100" s="6"/>
      <c r="P100" s="6"/>
      <c r="Q100" s="6"/>
      <c r="R100" s="7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3:32">
      <c r="C101" s="3"/>
      <c r="D101" s="3"/>
      <c r="G101" s="3"/>
      <c r="H101" s="8"/>
      <c r="I101" s="3"/>
      <c r="J101" s="3"/>
      <c r="K101" s="5"/>
      <c r="L101" s="5"/>
      <c r="M101" s="5"/>
      <c r="N101" s="6"/>
      <c r="O101" s="6"/>
      <c r="P101" s="6"/>
      <c r="Q101" s="6"/>
      <c r="R101" s="7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3:32">
      <c r="C102" s="3"/>
      <c r="D102" s="3"/>
      <c r="G102" s="3"/>
      <c r="H102" s="8"/>
      <c r="I102" s="3"/>
      <c r="J102" s="3"/>
      <c r="K102" s="5"/>
      <c r="L102" s="5"/>
      <c r="M102" s="5"/>
      <c r="N102" s="6"/>
      <c r="O102" s="6"/>
      <c r="P102" s="6"/>
      <c r="Q102" s="6"/>
      <c r="R102" s="7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3:32">
      <c r="C103" s="3"/>
      <c r="D103" s="3"/>
      <c r="G103" s="3"/>
      <c r="H103" s="8"/>
      <c r="I103" s="3"/>
      <c r="J103" s="3"/>
      <c r="K103" s="5"/>
      <c r="L103" s="5"/>
      <c r="M103" s="5"/>
      <c r="N103" s="6"/>
      <c r="O103" s="6"/>
      <c r="P103" s="6"/>
      <c r="Q103" s="6"/>
      <c r="R103" s="7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3:32">
      <c r="C104" s="3"/>
      <c r="D104" s="3"/>
      <c r="G104" s="3"/>
      <c r="H104" s="8"/>
      <c r="I104" s="3"/>
      <c r="J104" s="3"/>
      <c r="K104" s="5"/>
      <c r="L104" s="5"/>
      <c r="M104" s="5"/>
      <c r="N104" s="6"/>
      <c r="O104" s="6"/>
      <c r="P104" s="6"/>
      <c r="Q104" s="6"/>
      <c r="R104" s="7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3:32">
      <c r="C105" s="3"/>
      <c r="D105" s="3"/>
      <c r="G105" s="3"/>
      <c r="H105" s="8"/>
      <c r="I105" s="3"/>
      <c r="J105" s="3"/>
      <c r="K105" s="5"/>
      <c r="L105" s="5"/>
      <c r="M105" s="5"/>
      <c r="N105" s="6"/>
      <c r="O105" s="6"/>
      <c r="P105" s="6"/>
      <c r="Q105" s="6"/>
      <c r="R105" s="7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3:32">
      <c r="C106" s="3"/>
      <c r="D106" s="3"/>
      <c r="G106" s="3"/>
      <c r="H106" s="8"/>
      <c r="I106" s="3"/>
      <c r="J106" s="3"/>
      <c r="K106" s="5"/>
      <c r="L106" s="5"/>
      <c r="M106" s="5"/>
      <c r="N106" s="6"/>
      <c r="O106" s="6"/>
      <c r="P106" s="6"/>
      <c r="Q106" s="6"/>
      <c r="R106" s="7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3:32">
      <c r="C107" s="3"/>
      <c r="D107" s="3"/>
      <c r="G107" s="3"/>
      <c r="H107" s="8"/>
      <c r="I107" s="3"/>
      <c r="J107" s="3"/>
      <c r="K107" s="5"/>
      <c r="L107" s="5"/>
      <c r="M107" s="5"/>
      <c r="N107" s="6"/>
      <c r="O107" s="6"/>
      <c r="P107" s="6"/>
      <c r="Q107" s="6"/>
      <c r="R107" s="7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3:32">
      <c r="C108" s="3"/>
      <c r="D108" s="3"/>
      <c r="G108" s="3"/>
      <c r="H108" s="8"/>
      <c r="I108" s="3"/>
      <c r="J108" s="3"/>
      <c r="K108" s="5"/>
      <c r="L108" s="5"/>
      <c r="M108" s="5"/>
      <c r="N108" s="6"/>
      <c r="O108" s="6"/>
      <c r="P108" s="6"/>
      <c r="Q108" s="6"/>
      <c r="R108" s="7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3:32">
      <c r="C109" s="3"/>
      <c r="D109" s="3"/>
      <c r="G109" s="3"/>
      <c r="H109" s="8"/>
      <c r="I109" s="3"/>
      <c r="J109" s="3"/>
      <c r="K109" s="5"/>
      <c r="L109" s="5"/>
      <c r="M109" s="5"/>
      <c r="N109" s="6"/>
      <c r="O109" s="6"/>
      <c r="P109" s="6"/>
      <c r="Q109" s="6"/>
      <c r="R109" s="7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3:32">
      <c r="C110" s="3"/>
      <c r="D110" s="3"/>
      <c r="G110" s="3"/>
      <c r="H110" s="8"/>
      <c r="I110" s="3"/>
      <c r="J110" s="3"/>
      <c r="K110" s="5"/>
      <c r="L110" s="5"/>
      <c r="M110" s="5"/>
      <c r="N110" s="6"/>
      <c r="O110" s="6"/>
      <c r="P110" s="6"/>
      <c r="Q110" s="6"/>
      <c r="R110" s="7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3:32">
      <c r="C111" s="3"/>
      <c r="D111" s="3"/>
      <c r="G111" s="3"/>
      <c r="H111" s="8"/>
      <c r="I111" s="3"/>
      <c r="J111" s="3"/>
      <c r="K111" s="5"/>
      <c r="L111" s="5"/>
      <c r="M111" s="5"/>
      <c r="N111" s="6"/>
      <c r="O111" s="6"/>
      <c r="P111" s="6"/>
      <c r="Q111" s="6"/>
      <c r="R111" s="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3:32">
      <c r="C112" s="3"/>
      <c r="D112" s="3"/>
      <c r="G112" s="3"/>
      <c r="H112" s="8"/>
      <c r="I112" s="3"/>
      <c r="J112" s="3"/>
      <c r="K112" s="5"/>
      <c r="L112" s="5"/>
      <c r="M112" s="5"/>
      <c r="N112" s="6"/>
      <c r="O112" s="6"/>
      <c r="P112" s="6"/>
      <c r="Q112" s="6"/>
      <c r="R112" s="7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>
      <c r="C113" s="3"/>
      <c r="D113" s="3"/>
      <c r="G113" s="3"/>
      <c r="H113" s="8"/>
      <c r="I113" s="3"/>
      <c r="J113" s="3"/>
      <c r="K113" s="5"/>
      <c r="L113" s="5"/>
      <c r="M113" s="5"/>
      <c r="N113" s="6"/>
      <c r="O113" s="6"/>
      <c r="P113" s="6"/>
      <c r="Q113" s="6"/>
      <c r="R113" s="7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>
      <c r="C114" s="3"/>
      <c r="D114" s="3"/>
      <c r="G114" s="3"/>
      <c r="H114" s="8"/>
      <c r="I114" s="3"/>
      <c r="J114" s="3"/>
      <c r="K114" s="5"/>
      <c r="L114" s="5"/>
      <c r="M114" s="5"/>
      <c r="N114" s="6"/>
      <c r="O114" s="6"/>
      <c r="P114" s="6"/>
      <c r="Q114" s="6"/>
      <c r="R114" s="7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>
      <c r="A115" s="13"/>
      <c r="C115" s="3"/>
      <c r="D115" s="3"/>
      <c r="G115" s="3"/>
      <c r="H115" s="8"/>
      <c r="I115" s="3"/>
      <c r="J115" s="3"/>
      <c r="K115" s="5"/>
      <c r="L115" s="5"/>
      <c r="M115" s="5"/>
      <c r="N115" s="6"/>
      <c r="O115" s="6"/>
      <c r="P115" s="6"/>
      <c r="Q115" s="6"/>
      <c r="R115" s="7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>
      <c r="A116" s="13"/>
      <c r="C116" s="3"/>
      <c r="D116" s="3"/>
      <c r="G116" s="3"/>
      <c r="H116" s="8"/>
      <c r="I116" s="3"/>
      <c r="J116" s="3"/>
      <c r="K116" s="5"/>
      <c r="L116" s="5"/>
      <c r="M116" s="5"/>
      <c r="N116" s="6"/>
      <c r="O116" s="6"/>
      <c r="P116" s="6"/>
      <c r="Q116" s="6"/>
      <c r="R116" s="7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>
      <c r="A117" s="13"/>
      <c r="C117" s="3"/>
      <c r="D117" s="3"/>
      <c r="G117" s="3"/>
      <c r="H117" s="8"/>
      <c r="I117" s="3"/>
      <c r="J117" s="3"/>
      <c r="K117" s="5"/>
      <c r="L117" s="5"/>
      <c r="M117" s="5"/>
      <c r="N117" s="6"/>
      <c r="O117" s="6"/>
      <c r="P117" s="6"/>
      <c r="Q117" s="6"/>
      <c r="R117" s="7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>
      <c r="C118" s="3"/>
      <c r="D118" s="3"/>
      <c r="G118" s="3"/>
      <c r="H118" s="8"/>
      <c r="I118" s="3"/>
      <c r="J118" s="3"/>
      <c r="K118" s="5"/>
      <c r="L118" s="5"/>
      <c r="M118" s="5"/>
      <c r="N118" s="6"/>
      <c r="O118" s="6"/>
      <c r="P118" s="6"/>
      <c r="Q118" s="6"/>
      <c r="R118" s="7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>
      <c r="C119" s="3"/>
      <c r="D119" s="3"/>
      <c r="G119" s="3"/>
      <c r="H119" s="8"/>
      <c r="I119" s="3"/>
      <c r="J119" s="3"/>
      <c r="K119" s="5"/>
      <c r="L119" s="5"/>
      <c r="M119" s="5"/>
      <c r="N119" s="6"/>
      <c r="O119" s="6"/>
      <c r="P119" s="6"/>
      <c r="Q119" s="6"/>
      <c r="R119" s="7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>
      <c r="C120" s="3"/>
      <c r="D120" s="3"/>
      <c r="G120" s="3"/>
      <c r="H120" s="8"/>
      <c r="I120" s="3"/>
      <c r="J120" s="3"/>
      <c r="K120" s="5"/>
      <c r="L120" s="5"/>
      <c r="M120" s="5"/>
      <c r="N120" s="6"/>
      <c r="O120" s="6"/>
      <c r="P120" s="6"/>
      <c r="Q120" s="6"/>
      <c r="R120" s="7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>
      <c r="C121" s="3"/>
      <c r="D121" s="3"/>
      <c r="G121" s="3"/>
      <c r="H121" s="8"/>
      <c r="I121" s="3"/>
      <c r="J121" s="3"/>
      <c r="K121" s="5"/>
      <c r="L121" s="5"/>
      <c r="M121" s="5"/>
      <c r="N121" s="6"/>
      <c r="O121" s="6"/>
      <c r="P121" s="6"/>
      <c r="Q121" s="6"/>
      <c r="R121" s="7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>
      <c r="C122" s="3"/>
      <c r="D122" s="3"/>
      <c r="G122" s="3"/>
      <c r="H122" s="8"/>
      <c r="I122" s="3"/>
      <c r="J122" s="3"/>
      <c r="K122" s="5"/>
      <c r="L122" s="5"/>
      <c r="M122" s="5"/>
      <c r="N122" s="6"/>
      <c r="O122" s="6"/>
      <c r="P122" s="6"/>
      <c r="Q122" s="6"/>
      <c r="R122" s="7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>
      <c r="C123" s="3"/>
      <c r="D123" s="3"/>
      <c r="G123" s="3"/>
      <c r="H123" s="8"/>
      <c r="I123" s="3"/>
      <c r="J123" s="3"/>
      <c r="K123" s="5"/>
      <c r="L123" s="5"/>
      <c r="M123" s="5"/>
      <c r="N123" s="6"/>
      <c r="O123" s="6"/>
      <c r="P123" s="6"/>
      <c r="Q123" s="6"/>
      <c r="R123" s="7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>
      <c r="C124" s="3"/>
      <c r="D124" s="3"/>
      <c r="G124" s="3"/>
      <c r="H124" s="8"/>
      <c r="I124" s="3"/>
      <c r="J124" s="3"/>
      <c r="K124" s="5"/>
      <c r="L124" s="5"/>
      <c r="M124" s="5"/>
      <c r="N124" s="6"/>
      <c r="O124" s="6"/>
      <c r="P124" s="6"/>
      <c r="Q124" s="6"/>
      <c r="R124" s="7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>
      <c r="C125" s="3"/>
      <c r="D125" s="3"/>
      <c r="G125" s="3"/>
      <c r="H125" s="8"/>
      <c r="I125" s="3"/>
      <c r="J125" s="3"/>
      <c r="K125" s="5"/>
      <c r="L125" s="5"/>
      <c r="M125" s="5"/>
      <c r="N125" s="6"/>
      <c r="O125" s="6"/>
      <c r="P125" s="6"/>
      <c r="Q125" s="6"/>
      <c r="R125" s="7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>
      <c r="C126" s="3"/>
      <c r="D126" s="3"/>
      <c r="G126" s="3"/>
      <c r="H126" s="8"/>
      <c r="I126" s="3"/>
      <c r="J126" s="3"/>
      <c r="K126" s="5"/>
      <c r="L126" s="5"/>
      <c r="M126" s="5"/>
      <c r="N126" s="6"/>
      <c r="O126" s="6"/>
      <c r="P126" s="6"/>
      <c r="Q126" s="6"/>
      <c r="R126" s="7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>
      <c r="C127" s="3"/>
      <c r="D127" s="3"/>
      <c r="G127" s="3"/>
      <c r="H127" s="8"/>
      <c r="I127" s="3"/>
      <c r="J127" s="3"/>
      <c r="K127" s="5"/>
      <c r="L127" s="5"/>
      <c r="M127" s="5"/>
      <c r="N127" s="6"/>
      <c r="O127" s="6"/>
      <c r="P127" s="6"/>
      <c r="Q127" s="6"/>
      <c r="R127" s="7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>
      <c r="C128" s="3"/>
      <c r="D128" s="3"/>
      <c r="G128" s="3"/>
      <c r="H128" s="8"/>
      <c r="I128" s="3"/>
      <c r="J128" s="3"/>
      <c r="K128" s="5"/>
      <c r="L128" s="5"/>
      <c r="M128" s="5"/>
      <c r="N128" s="6"/>
      <c r="O128" s="6"/>
      <c r="P128" s="6"/>
      <c r="Q128" s="6"/>
      <c r="R128" s="7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3:32">
      <c r="C129" s="3"/>
      <c r="D129" s="3"/>
      <c r="G129" s="3"/>
      <c r="H129" s="8"/>
      <c r="I129" s="3"/>
      <c r="J129" s="3"/>
      <c r="K129" s="5"/>
      <c r="L129" s="5"/>
      <c r="M129" s="5"/>
      <c r="N129" s="6"/>
      <c r="O129" s="6"/>
      <c r="P129" s="6"/>
      <c r="Q129" s="6"/>
      <c r="R129" s="7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3:32">
      <c r="C130" s="3"/>
      <c r="D130" s="3"/>
      <c r="G130" s="3"/>
      <c r="H130" s="8"/>
      <c r="I130" s="3"/>
      <c r="J130" s="3"/>
      <c r="K130" s="5"/>
      <c r="L130" s="5"/>
      <c r="M130" s="5"/>
      <c r="N130" s="6"/>
      <c r="O130" s="6"/>
      <c r="P130" s="6"/>
      <c r="Q130" s="6"/>
      <c r="R130" s="7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3:32">
      <c r="C131" s="3"/>
      <c r="D131" s="3"/>
      <c r="G131" s="3"/>
      <c r="H131" s="8"/>
      <c r="I131" s="3"/>
      <c r="J131" s="3"/>
      <c r="K131" s="5"/>
      <c r="L131" s="5"/>
      <c r="M131" s="5"/>
      <c r="N131" s="6"/>
      <c r="O131" s="6"/>
      <c r="P131" s="6"/>
      <c r="Q131" s="6"/>
      <c r="R131" s="7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3:32">
      <c r="C132" s="3"/>
      <c r="D132" s="3"/>
      <c r="G132" s="3"/>
      <c r="H132" s="8"/>
      <c r="I132" s="3"/>
      <c r="J132" s="3"/>
      <c r="K132" s="5"/>
      <c r="L132" s="5"/>
      <c r="M132" s="5"/>
      <c r="N132" s="6"/>
      <c r="O132" s="6"/>
      <c r="P132" s="6"/>
      <c r="Q132" s="6"/>
      <c r="R132" s="7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3:32">
      <c r="C133" s="3"/>
      <c r="D133" s="3"/>
      <c r="G133" s="3"/>
      <c r="H133" s="8"/>
      <c r="I133" s="3"/>
      <c r="J133" s="3"/>
      <c r="K133" s="5"/>
      <c r="L133" s="5"/>
      <c r="M133" s="5"/>
      <c r="N133" s="6"/>
      <c r="O133" s="6"/>
      <c r="P133" s="6"/>
      <c r="Q133" s="6"/>
      <c r="R133" s="7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3:32">
      <c r="C134" s="3"/>
      <c r="D134" s="3"/>
      <c r="G134" s="3"/>
      <c r="H134" s="8"/>
      <c r="I134" s="3"/>
      <c r="J134" s="3"/>
      <c r="K134" s="5"/>
      <c r="L134" s="5"/>
      <c r="M134" s="5"/>
      <c r="N134" s="6"/>
      <c r="O134" s="6"/>
      <c r="P134" s="6"/>
      <c r="Q134" s="6"/>
      <c r="R134" s="7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3:32">
      <c r="C135" s="3"/>
      <c r="D135" s="3"/>
      <c r="G135" s="3"/>
      <c r="H135" s="8"/>
      <c r="I135" s="3"/>
      <c r="J135" s="3"/>
      <c r="K135" s="5"/>
      <c r="L135" s="5"/>
      <c r="M135" s="5"/>
      <c r="N135" s="6"/>
      <c r="O135" s="6"/>
      <c r="P135" s="6"/>
      <c r="Q135" s="6"/>
      <c r="R135" s="7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45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BF7-BD47-40F1-8B6F-F6642E7701D0}">
  <dimension ref="A1:AF151"/>
  <sheetViews>
    <sheetView tabSelected="1" workbookViewId="0">
      <selection activeCell="C7" sqref="C7"/>
    </sheetView>
  </sheetViews>
  <sheetFormatPr defaultRowHeight="15"/>
  <cols>
    <col min="3" max="3" width="29" bestFit="1" customWidth="1"/>
    <col min="4" max="4" width="18.42578125" customWidth="1"/>
    <col min="6" max="6" width="13.5703125" bestFit="1" customWidth="1"/>
    <col min="7" max="7" width="23.28515625" bestFit="1" customWidth="1"/>
    <col min="8" max="8" width="17" bestFit="1" customWidth="1"/>
  </cols>
  <sheetData>
    <row r="1" spans="1:32">
      <c r="C1" s="9" t="s">
        <v>0</v>
      </c>
    </row>
    <row r="2" spans="1:32">
      <c r="C2" s="1" t="s">
        <v>1</v>
      </c>
      <c r="D2" s="2">
        <v>46280.434600030501</v>
      </c>
      <c r="J2" s="8"/>
      <c r="K2" s="8"/>
    </row>
    <row r="3" spans="1:32">
      <c r="C3" s="1" t="s">
        <v>2</v>
      </c>
      <c r="D3" s="2">
        <v>46265.319345451397</v>
      </c>
      <c r="E3" s="10"/>
      <c r="F3" s="10"/>
      <c r="G3" s="10"/>
      <c r="H3" s="10"/>
      <c r="I3" s="10"/>
      <c r="J3" s="10"/>
      <c r="K3" s="10"/>
    </row>
    <row r="4" spans="1:32">
      <c r="C4" s="1" t="s">
        <v>3</v>
      </c>
      <c r="D4" s="11" t="s">
        <v>4</v>
      </c>
      <c r="E4" s="11"/>
      <c r="F4" s="11"/>
    </row>
    <row r="5" spans="1:32">
      <c r="C5" s="1" t="s">
        <v>5</v>
      </c>
      <c r="D5" s="11" t="s">
        <v>6</v>
      </c>
      <c r="E5" s="11"/>
      <c r="F5" s="11"/>
    </row>
    <row r="6" spans="1:32">
      <c r="C6" s="1" t="s">
        <v>7</v>
      </c>
      <c r="D6" s="11" t="s">
        <v>8</v>
      </c>
      <c r="E6" s="11"/>
      <c r="F6" s="11"/>
    </row>
    <row r="7" spans="1:32">
      <c r="C7" s="1" t="s">
        <v>76</v>
      </c>
      <c r="D7" s="11" cm="1">
        <f t="array" ref="D7">COUNTA(_xlfn._xlws.FILTER(_xlfn.UNIQUE(C10:C200),_xlfn.UNIQUE(C10:C200)&lt;&gt;0))</f>
        <v>8</v>
      </c>
      <c r="E7" s="11"/>
      <c r="F7" s="11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187</v>
      </c>
      <c r="C10" s="3" t="s">
        <v>77</v>
      </c>
      <c r="D10" s="3" t="s">
        <v>78</v>
      </c>
      <c r="E10" t="s">
        <v>79</v>
      </c>
      <c r="F10" t="s">
        <v>80</v>
      </c>
      <c r="G10" s="3" t="s">
        <v>6</v>
      </c>
      <c r="H10" s="2">
        <v>46265.331383680597</v>
      </c>
      <c r="I10" s="3">
        <v>73.98</v>
      </c>
      <c r="J10" s="3" t="s">
        <v>45</v>
      </c>
      <c r="K10" s="5">
        <v>43.8</v>
      </c>
      <c r="L10" s="5">
        <v>208.2</v>
      </c>
      <c r="M10" s="5">
        <v>243.5</v>
      </c>
      <c r="N10" s="6">
        <v>1267</v>
      </c>
      <c r="O10" s="6">
        <v>508</v>
      </c>
      <c r="P10" s="6">
        <v>545</v>
      </c>
      <c r="Q10" s="6">
        <v>685</v>
      </c>
      <c r="R10" s="7">
        <v>0.36</v>
      </c>
      <c r="S10" s="6">
        <v>871</v>
      </c>
      <c r="T10" s="6">
        <v>852</v>
      </c>
      <c r="U10" s="6">
        <v>240</v>
      </c>
      <c r="V10" s="6">
        <v>236</v>
      </c>
      <c r="W10" s="6">
        <v>816</v>
      </c>
      <c r="X10" s="6">
        <v>853</v>
      </c>
      <c r="Y10" s="6">
        <v>2011</v>
      </c>
      <c r="Z10" s="6">
        <v>2061</v>
      </c>
      <c r="AA10" s="6">
        <v>36801</v>
      </c>
      <c r="AB10" s="6">
        <v>34680</v>
      </c>
      <c r="AC10" s="6">
        <v>852</v>
      </c>
      <c r="AD10" s="6">
        <v>871</v>
      </c>
      <c r="AE10" s="6">
        <v>548</v>
      </c>
      <c r="AF10" s="6">
        <v>747</v>
      </c>
    </row>
    <row r="11" spans="1:32">
      <c r="A11">
        <v>187</v>
      </c>
      <c r="C11" s="3" t="s">
        <v>77</v>
      </c>
      <c r="D11" s="3" t="s">
        <v>78</v>
      </c>
      <c r="E11" t="s">
        <v>79</v>
      </c>
      <c r="F11" t="s">
        <v>80</v>
      </c>
      <c r="G11" s="3" t="s">
        <v>6</v>
      </c>
      <c r="H11" s="2">
        <v>46265.331383680597</v>
      </c>
      <c r="I11" s="3">
        <v>73.98</v>
      </c>
      <c r="J11" s="3" t="s">
        <v>46</v>
      </c>
      <c r="K11" s="5">
        <v>46</v>
      </c>
      <c r="L11" s="5">
        <v>207.4</v>
      </c>
      <c r="M11" s="5">
        <v>233.3</v>
      </c>
      <c r="N11" s="6">
        <v>455</v>
      </c>
      <c r="O11" s="6">
        <v>-145</v>
      </c>
      <c r="P11" s="6">
        <v>1381</v>
      </c>
      <c r="Q11" s="6">
        <v>1714</v>
      </c>
      <c r="R11" s="7">
        <v>0.51</v>
      </c>
      <c r="S11" s="6">
        <v>926</v>
      </c>
      <c r="T11" s="6">
        <v>843</v>
      </c>
      <c r="U11" s="6">
        <v>220</v>
      </c>
      <c r="V11" s="6">
        <v>22</v>
      </c>
      <c r="W11" s="6">
        <v>818</v>
      </c>
      <c r="X11" s="6">
        <v>844</v>
      </c>
      <c r="Y11" s="6">
        <v>2272</v>
      </c>
      <c r="Z11" s="6">
        <v>1781</v>
      </c>
      <c r="AA11" s="6">
        <v>26189</v>
      </c>
      <c r="AB11" s="6">
        <v>37874</v>
      </c>
      <c r="AC11" s="6">
        <v>843</v>
      </c>
      <c r="AD11" s="6">
        <v>926</v>
      </c>
      <c r="AE11" s="6">
        <v>743</v>
      </c>
      <c r="AF11" s="6">
        <v>891</v>
      </c>
    </row>
    <row r="12" spans="1:32">
      <c r="A12">
        <v>187</v>
      </c>
      <c r="C12" s="3" t="s">
        <v>77</v>
      </c>
      <c r="D12" s="3" t="s">
        <v>78</v>
      </c>
      <c r="E12" t="s">
        <v>79</v>
      </c>
      <c r="F12" t="s">
        <v>80</v>
      </c>
      <c r="G12" s="3" t="s">
        <v>6</v>
      </c>
      <c r="H12" s="2">
        <v>46265.331383680597</v>
      </c>
      <c r="I12" s="3">
        <v>73.98</v>
      </c>
      <c r="J12" s="3" t="s">
        <v>47</v>
      </c>
      <c r="K12" s="5">
        <v>45.3</v>
      </c>
      <c r="L12" s="5">
        <v>201.7</v>
      </c>
      <c r="M12" s="5">
        <v>236.1</v>
      </c>
      <c r="N12" s="6">
        <v>727</v>
      </c>
      <c r="O12" s="6">
        <v>1000</v>
      </c>
      <c r="P12" s="6">
        <v>2239</v>
      </c>
      <c r="Q12" s="6">
        <v>1818</v>
      </c>
      <c r="R12" s="7">
        <v>0.52</v>
      </c>
      <c r="S12" s="6">
        <v>980</v>
      </c>
      <c r="T12" s="6">
        <v>860</v>
      </c>
      <c r="U12" s="6">
        <v>220</v>
      </c>
      <c r="V12" s="6">
        <v>18</v>
      </c>
      <c r="W12" s="6">
        <v>831</v>
      </c>
      <c r="X12" s="6">
        <v>838</v>
      </c>
      <c r="Y12" s="6">
        <v>2282</v>
      </c>
      <c r="Z12" s="6">
        <v>2614</v>
      </c>
      <c r="AA12" s="6">
        <v>42159</v>
      </c>
      <c r="AB12" s="6">
        <v>31701</v>
      </c>
      <c r="AC12" s="6">
        <v>860</v>
      </c>
      <c r="AD12" s="6">
        <v>980</v>
      </c>
      <c r="AE12" s="6">
        <v>765</v>
      </c>
      <c r="AF12" s="6">
        <v>958</v>
      </c>
    </row>
    <row r="13" spans="1:32">
      <c r="A13">
        <v>185</v>
      </c>
      <c r="C13" s="3" t="s">
        <v>81</v>
      </c>
      <c r="D13" s="3" t="s">
        <v>82</v>
      </c>
      <c r="E13" t="s">
        <v>79</v>
      </c>
      <c r="F13" t="s">
        <v>80</v>
      </c>
      <c r="G13" s="3" t="s">
        <v>6</v>
      </c>
      <c r="H13" s="2">
        <v>46265.326458020798</v>
      </c>
      <c r="I13" s="3">
        <v>85.13</v>
      </c>
      <c r="J13" s="3" t="s">
        <v>45</v>
      </c>
      <c r="K13" s="5">
        <v>38.9</v>
      </c>
      <c r="L13" s="5">
        <v>234.4</v>
      </c>
      <c r="M13" s="5">
        <v>223.6</v>
      </c>
      <c r="N13" s="6">
        <v>124</v>
      </c>
      <c r="O13" s="6">
        <v>176</v>
      </c>
      <c r="P13" s="6">
        <v>2781</v>
      </c>
      <c r="Q13" s="6">
        <v>2734</v>
      </c>
      <c r="R13" s="7">
        <v>0.51</v>
      </c>
      <c r="S13" s="6">
        <v>1006</v>
      </c>
      <c r="T13" s="6">
        <v>968</v>
      </c>
      <c r="U13" s="6">
        <v>172</v>
      </c>
      <c r="V13" s="6">
        <v>170</v>
      </c>
      <c r="W13" s="6">
        <v>935</v>
      </c>
      <c r="X13" s="6">
        <v>916</v>
      </c>
      <c r="Y13" s="6">
        <v>3316</v>
      </c>
      <c r="Z13" s="6">
        <v>1978</v>
      </c>
      <c r="AA13" s="6">
        <v>38035</v>
      </c>
      <c r="AB13" s="6">
        <v>72078</v>
      </c>
      <c r="AC13" s="6">
        <v>968</v>
      </c>
      <c r="AD13" s="6">
        <v>1006</v>
      </c>
      <c r="AE13" s="6">
        <v>946</v>
      </c>
      <c r="AF13" s="6">
        <v>981</v>
      </c>
    </row>
    <row r="14" spans="1:32">
      <c r="A14">
        <v>185</v>
      </c>
      <c r="C14" s="3" t="s">
        <v>81</v>
      </c>
      <c r="D14" s="3" t="s">
        <v>82</v>
      </c>
      <c r="E14" t="s">
        <v>79</v>
      </c>
      <c r="F14" t="s">
        <v>80</v>
      </c>
      <c r="G14" s="3" t="s">
        <v>6</v>
      </c>
      <c r="H14" s="2">
        <v>46265.326458020798</v>
      </c>
      <c r="I14" s="3">
        <v>85.13</v>
      </c>
      <c r="J14" s="3" t="s">
        <v>46</v>
      </c>
      <c r="K14" s="5">
        <v>39.700000000000003</v>
      </c>
      <c r="L14" s="5">
        <v>231.9</v>
      </c>
      <c r="M14" s="5">
        <v>228.6</v>
      </c>
      <c r="N14" s="6">
        <v>517</v>
      </c>
      <c r="O14" s="6">
        <v>330</v>
      </c>
      <c r="P14" s="6">
        <v>2905</v>
      </c>
      <c r="Q14" s="6">
        <v>2974</v>
      </c>
      <c r="R14" s="7">
        <v>0.54</v>
      </c>
      <c r="S14" s="6">
        <v>1026</v>
      </c>
      <c r="T14" s="6">
        <v>1018</v>
      </c>
      <c r="U14" s="6">
        <v>166</v>
      </c>
      <c r="V14" s="6">
        <v>176</v>
      </c>
      <c r="W14" s="6">
        <v>947</v>
      </c>
      <c r="X14" s="6">
        <v>947</v>
      </c>
      <c r="Y14" s="6">
        <v>2409</v>
      </c>
      <c r="Z14" s="6">
        <v>2581</v>
      </c>
      <c r="AA14" s="6">
        <v>49631</v>
      </c>
      <c r="AB14" s="6">
        <v>48172</v>
      </c>
      <c r="AC14" s="6">
        <v>1018</v>
      </c>
      <c r="AD14" s="6">
        <v>1026</v>
      </c>
      <c r="AE14" s="6">
        <v>927</v>
      </c>
      <c r="AF14" s="6">
        <v>976</v>
      </c>
    </row>
    <row r="15" spans="1:32">
      <c r="A15">
        <v>185</v>
      </c>
      <c r="C15" s="3" t="s">
        <v>81</v>
      </c>
      <c r="D15" s="3" t="s">
        <v>82</v>
      </c>
      <c r="E15" t="s">
        <v>79</v>
      </c>
      <c r="F15" t="s">
        <v>80</v>
      </c>
      <c r="G15" s="3" t="s">
        <v>6</v>
      </c>
      <c r="H15" s="2">
        <v>46265.326458020798</v>
      </c>
      <c r="I15" s="3">
        <v>85.13</v>
      </c>
      <c r="J15" s="3" t="s">
        <v>47</v>
      </c>
      <c r="K15" s="5">
        <v>40.700000000000003</v>
      </c>
      <c r="L15" s="5">
        <v>230.4</v>
      </c>
      <c r="M15" s="5">
        <v>237.5</v>
      </c>
      <c r="N15" s="6">
        <v>0</v>
      </c>
      <c r="O15" s="6">
        <v>0</v>
      </c>
      <c r="P15" s="6">
        <v>3059</v>
      </c>
      <c r="Q15" s="6">
        <v>3206</v>
      </c>
      <c r="R15" s="7">
        <v>0.53</v>
      </c>
      <c r="S15" s="6">
        <v>1054</v>
      </c>
      <c r="T15" s="6">
        <v>1032</v>
      </c>
      <c r="U15" s="6">
        <v>0</v>
      </c>
      <c r="V15" s="6">
        <v>0</v>
      </c>
      <c r="W15" s="6">
        <v>909</v>
      </c>
      <c r="X15" s="6">
        <v>938</v>
      </c>
      <c r="Y15" s="6">
        <v>2139</v>
      </c>
      <c r="Z15" s="6">
        <v>2491</v>
      </c>
      <c r="AA15" s="6">
        <v>56610</v>
      </c>
      <c r="AB15" s="6">
        <v>44554</v>
      </c>
      <c r="AC15" s="6">
        <v>1030</v>
      </c>
      <c r="AD15" s="6">
        <v>1054</v>
      </c>
      <c r="AE15" s="6">
        <v>1032</v>
      </c>
      <c r="AF15" s="6">
        <v>1054</v>
      </c>
    </row>
    <row r="16" spans="1:32">
      <c r="A16">
        <v>182</v>
      </c>
      <c r="C16" s="3" t="s">
        <v>83</v>
      </c>
      <c r="D16" s="3" t="s">
        <v>84</v>
      </c>
      <c r="E16" t="s">
        <v>79</v>
      </c>
      <c r="F16" t="s">
        <v>80</v>
      </c>
      <c r="G16" s="3" t="s">
        <v>6</v>
      </c>
      <c r="H16" s="2">
        <v>46265.322211423598</v>
      </c>
      <c r="I16" s="3">
        <v>78.150000000000006</v>
      </c>
      <c r="J16" s="3" t="s">
        <v>45</v>
      </c>
      <c r="K16" s="5">
        <v>41.7</v>
      </c>
      <c r="L16" s="5">
        <v>229.5</v>
      </c>
      <c r="M16" s="5">
        <v>223.1</v>
      </c>
      <c r="N16" s="6">
        <v>48</v>
      </c>
      <c r="O16" s="6">
        <v>1262</v>
      </c>
      <c r="P16" s="6">
        <v>2762</v>
      </c>
      <c r="Q16" s="6">
        <v>2803</v>
      </c>
      <c r="R16" s="7">
        <v>0.52</v>
      </c>
      <c r="S16" s="6">
        <v>827</v>
      </c>
      <c r="T16" s="6">
        <v>926</v>
      </c>
      <c r="U16" s="6">
        <v>40</v>
      </c>
      <c r="V16" s="6">
        <v>212</v>
      </c>
      <c r="W16" s="6">
        <v>785</v>
      </c>
      <c r="X16" s="6">
        <v>813</v>
      </c>
      <c r="Y16" s="6">
        <v>2199</v>
      </c>
      <c r="Z16" s="6">
        <v>2014</v>
      </c>
      <c r="AA16" s="6">
        <v>47944</v>
      </c>
      <c r="AB16" s="6">
        <v>47808</v>
      </c>
      <c r="AC16" s="6">
        <v>926</v>
      </c>
      <c r="AD16" s="6">
        <v>827</v>
      </c>
      <c r="AE16" s="6">
        <v>923</v>
      </c>
      <c r="AF16" s="6">
        <v>765</v>
      </c>
    </row>
    <row r="17" spans="1:32">
      <c r="A17">
        <v>182</v>
      </c>
      <c r="C17" s="3" t="s">
        <v>83</v>
      </c>
      <c r="D17" s="3" t="s">
        <v>84</v>
      </c>
      <c r="E17" t="s">
        <v>79</v>
      </c>
      <c r="F17" t="s">
        <v>80</v>
      </c>
      <c r="G17" s="3" t="s">
        <v>6</v>
      </c>
      <c r="H17" s="2">
        <v>46265.322211423598</v>
      </c>
      <c r="I17" s="3">
        <v>78.150000000000006</v>
      </c>
      <c r="J17" s="3" t="s">
        <v>46</v>
      </c>
      <c r="K17" s="5">
        <v>43</v>
      </c>
      <c r="L17" s="5">
        <v>227.5</v>
      </c>
      <c r="M17" s="5">
        <v>225.4</v>
      </c>
      <c r="N17" s="6">
        <v>45</v>
      </c>
      <c r="O17" s="6">
        <v>727</v>
      </c>
      <c r="P17" s="6">
        <v>2741</v>
      </c>
      <c r="Q17" s="6">
        <v>2500</v>
      </c>
      <c r="R17" s="7">
        <v>0.53</v>
      </c>
      <c r="S17" s="6">
        <v>896</v>
      </c>
      <c r="T17" s="6">
        <v>967</v>
      </c>
      <c r="U17" s="6">
        <v>6</v>
      </c>
      <c r="V17" s="6">
        <v>22</v>
      </c>
      <c r="W17" s="6">
        <v>762</v>
      </c>
      <c r="X17" s="6">
        <v>797</v>
      </c>
      <c r="Y17" s="6">
        <v>1664</v>
      </c>
      <c r="Z17" s="6">
        <v>1259</v>
      </c>
      <c r="AA17" s="6">
        <v>23308</v>
      </c>
      <c r="AB17" s="6">
        <v>30818</v>
      </c>
      <c r="AC17" s="6">
        <v>967</v>
      </c>
      <c r="AD17" s="6">
        <v>896</v>
      </c>
      <c r="AE17" s="6">
        <v>961</v>
      </c>
      <c r="AF17" s="6">
        <v>880</v>
      </c>
    </row>
    <row r="18" spans="1:32">
      <c r="A18">
        <v>182</v>
      </c>
      <c r="C18" s="3" t="s">
        <v>83</v>
      </c>
      <c r="D18" s="3" t="s">
        <v>84</v>
      </c>
      <c r="E18" t="s">
        <v>79</v>
      </c>
      <c r="F18" t="s">
        <v>80</v>
      </c>
      <c r="G18" s="3" t="s">
        <v>6</v>
      </c>
      <c r="H18" s="2">
        <v>46265.322211423598</v>
      </c>
      <c r="I18" s="3">
        <v>78.150000000000006</v>
      </c>
      <c r="J18" s="3" t="s">
        <v>47</v>
      </c>
      <c r="K18" s="5">
        <v>41.3</v>
      </c>
      <c r="L18" s="5">
        <v>217.2</v>
      </c>
      <c r="M18" s="5">
        <v>217.5</v>
      </c>
      <c r="N18" s="6">
        <v>-500</v>
      </c>
      <c r="O18" s="6">
        <v>3000</v>
      </c>
      <c r="P18" s="6">
        <v>2904</v>
      </c>
      <c r="Q18" s="6">
        <v>2534</v>
      </c>
      <c r="R18" s="7">
        <v>0.53</v>
      </c>
      <c r="S18" s="6">
        <v>936</v>
      </c>
      <c r="T18" s="6">
        <v>985</v>
      </c>
      <c r="U18" s="6">
        <v>0</v>
      </c>
      <c r="V18" s="6">
        <v>2</v>
      </c>
      <c r="W18" s="6">
        <v>756</v>
      </c>
      <c r="X18" s="6">
        <v>810</v>
      </c>
      <c r="Y18" s="6">
        <v>3890</v>
      </c>
      <c r="Z18" s="6">
        <v>3470</v>
      </c>
      <c r="AA18" s="6">
        <v>123916</v>
      </c>
      <c r="AB18" s="6">
        <v>129672</v>
      </c>
      <c r="AC18" s="6">
        <v>983</v>
      </c>
      <c r="AD18" s="6">
        <v>936</v>
      </c>
      <c r="AE18" s="6">
        <v>985</v>
      </c>
      <c r="AF18" s="6">
        <v>934</v>
      </c>
    </row>
    <row r="19" spans="1:32">
      <c r="C19" s="3" t="s">
        <v>85</v>
      </c>
      <c r="D19" s="3" t="s">
        <v>86</v>
      </c>
      <c r="E19" t="s">
        <v>79</v>
      </c>
      <c r="F19" t="s">
        <v>80</v>
      </c>
      <c r="G19" s="3" t="s">
        <v>6</v>
      </c>
      <c r="H19" s="2">
        <v>46265.3186515856</v>
      </c>
      <c r="I19" s="3">
        <v>73.56</v>
      </c>
      <c r="J19" s="3" t="s">
        <v>45</v>
      </c>
      <c r="K19" s="5">
        <v>37.299999999999997</v>
      </c>
      <c r="L19" s="5">
        <v>190.8</v>
      </c>
      <c r="M19" s="5">
        <v>186.1</v>
      </c>
      <c r="N19" s="6">
        <v>500</v>
      </c>
      <c r="O19" s="6">
        <v>250</v>
      </c>
      <c r="P19" s="6">
        <v>2386</v>
      </c>
      <c r="Q19" s="6">
        <v>2927</v>
      </c>
      <c r="R19" s="7">
        <v>0.49</v>
      </c>
      <c r="S19" s="6">
        <v>920</v>
      </c>
      <c r="T19" s="6">
        <v>890</v>
      </c>
      <c r="U19" s="6">
        <v>12</v>
      </c>
      <c r="V19" s="6">
        <v>8</v>
      </c>
      <c r="W19" s="6">
        <v>834</v>
      </c>
      <c r="X19" s="6">
        <v>813</v>
      </c>
      <c r="Y19" s="6">
        <v>3070</v>
      </c>
      <c r="Z19" s="6">
        <v>3249</v>
      </c>
      <c r="AA19" s="6">
        <v>54154</v>
      </c>
      <c r="AB19" s="6">
        <v>49521</v>
      </c>
      <c r="AC19" s="6">
        <v>890</v>
      </c>
      <c r="AD19" s="6">
        <v>920</v>
      </c>
      <c r="AE19" s="6">
        <v>884</v>
      </c>
      <c r="AF19" s="6">
        <v>914</v>
      </c>
    </row>
    <row r="20" spans="1:32">
      <c r="C20" s="3" t="s">
        <v>85</v>
      </c>
      <c r="D20" s="3" t="s">
        <v>86</v>
      </c>
      <c r="E20" t="s">
        <v>79</v>
      </c>
      <c r="F20" t="s">
        <v>80</v>
      </c>
      <c r="G20" s="3" t="s">
        <v>6</v>
      </c>
      <c r="H20" s="2">
        <v>46265.3186515856</v>
      </c>
      <c r="I20" s="3">
        <v>73.56</v>
      </c>
      <c r="J20" s="3" t="s">
        <v>46</v>
      </c>
      <c r="K20" s="5">
        <v>36.5</v>
      </c>
      <c r="L20" s="5">
        <v>189.2</v>
      </c>
      <c r="M20" s="5">
        <v>187.1</v>
      </c>
      <c r="N20" s="6">
        <v>0</v>
      </c>
      <c r="O20" s="6">
        <v>2250</v>
      </c>
      <c r="P20" s="6">
        <v>2622</v>
      </c>
      <c r="Q20" s="6">
        <v>2373</v>
      </c>
      <c r="R20" s="7">
        <v>0.52</v>
      </c>
      <c r="S20" s="6">
        <v>916</v>
      </c>
      <c r="T20" s="6">
        <v>908</v>
      </c>
      <c r="U20" s="6">
        <v>14</v>
      </c>
      <c r="V20" s="6">
        <v>4</v>
      </c>
      <c r="W20" s="6">
        <v>806</v>
      </c>
      <c r="X20" s="6">
        <v>817</v>
      </c>
      <c r="Y20" s="6">
        <v>3730</v>
      </c>
      <c r="Z20" s="6">
        <v>3997</v>
      </c>
      <c r="AA20" s="6">
        <v>76870</v>
      </c>
      <c r="AB20" s="6">
        <v>71737</v>
      </c>
      <c r="AC20" s="6">
        <v>908</v>
      </c>
      <c r="AD20" s="6">
        <v>916</v>
      </c>
      <c r="AE20" s="6">
        <v>903</v>
      </c>
      <c r="AF20" s="6">
        <v>912</v>
      </c>
    </row>
    <row r="21" spans="1:32">
      <c r="C21" s="3" t="s">
        <v>85</v>
      </c>
      <c r="D21" s="3" t="s">
        <v>86</v>
      </c>
      <c r="E21" t="s">
        <v>79</v>
      </c>
      <c r="F21" t="s">
        <v>80</v>
      </c>
      <c r="G21" s="3" t="s">
        <v>6</v>
      </c>
      <c r="H21" s="2">
        <v>46265.3186515856</v>
      </c>
      <c r="I21" s="3">
        <v>73.56</v>
      </c>
      <c r="J21" s="3" t="s">
        <v>47</v>
      </c>
      <c r="K21" s="5">
        <v>37.200000000000003</v>
      </c>
      <c r="L21" s="5">
        <v>190.4</v>
      </c>
      <c r="M21" s="5">
        <v>190.6</v>
      </c>
      <c r="N21" s="6">
        <v>250</v>
      </c>
      <c r="O21" s="6">
        <v>250</v>
      </c>
      <c r="P21" s="6">
        <v>2935</v>
      </c>
      <c r="Q21" s="6">
        <v>3355</v>
      </c>
      <c r="R21" s="7">
        <v>0.53</v>
      </c>
      <c r="S21" s="6">
        <v>942</v>
      </c>
      <c r="T21" s="6">
        <v>956</v>
      </c>
      <c r="U21" s="6">
        <v>4</v>
      </c>
      <c r="V21" s="6">
        <v>8</v>
      </c>
      <c r="W21" s="6">
        <v>772</v>
      </c>
      <c r="X21" s="6">
        <v>803</v>
      </c>
      <c r="Y21" s="6">
        <v>2273</v>
      </c>
      <c r="Z21" s="6">
        <v>2366</v>
      </c>
      <c r="AA21" s="6">
        <v>38165</v>
      </c>
      <c r="AB21" s="6">
        <v>36666</v>
      </c>
      <c r="AC21" s="6">
        <v>956</v>
      </c>
      <c r="AD21" s="6">
        <v>942</v>
      </c>
      <c r="AE21" s="6">
        <v>955</v>
      </c>
      <c r="AF21" s="6">
        <v>942</v>
      </c>
    </row>
    <row r="22" spans="1:32">
      <c r="A22">
        <v>191</v>
      </c>
      <c r="C22" s="3" t="s">
        <v>87</v>
      </c>
      <c r="D22" s="3" t="s">
        <v>88</v>
      </c>
      <c r="E22" t="s">
        <v>79</v>
      </c>
      <c r="F22" t="s">
        <v>89</v>
      </c>
      <c r="G22" s="3" t="s">
        <v>6</v>
      </c>
      <c r="H22" s="2">
        <v>46265.339113460599</v>
      </c>
      <c r="I22" s="3">
        <v>64.739999999999995</v>
      </c>
      <c r="J22" s="3" t="s">
        <v>45</v>
      </c>
      <c r="K22" s="5">
        <v>37.700000000000003</v>
      </c>
      <c r="L22" s="5">
        <v>174</v>
      </c>
      <c r="M22" s="5">
        <v>172.6</v>
      </c>
      <c r="N22" s="6">
        <v>-68</v>
      </c>
      <c r="O22" s="6">
        <v>172</v>
      </c>
      <c r="P22" s="6">
        <v>2299</v>
      </c>
      <c r="Q22" s="6">
        <v>2167</v>
      </c>
      <c r="R22" s="7">
        <v>0.48</v>
      </c>
      <c r="S22" s="6">
        <v>774</v>
      </c>
      <c r="T22" s="6">
        <v>763</v>
      </c>
      <c r="U22" s="6">
        <v>4</v>
      </c>
      <c r="V22" s="6">
        <v>192</v>
      </c>
      <c r="W22" s="6">
        <v>716</v>
      </c>
      <c r="X22" s="6">
        <v>744</v>
      </c>
      <c r="Y22" s="6">
        <v>1949</v>
      </c>
      <c r="Z22" s="6">
        <v>1824</v>
      </c>
      <c r="AA22" s="6">
        <v>37993</v>
      </c>
      <c r="AB22" s="6">
        <v>37485</v>
      </c>
      <c r="AC22" s="6">
        <v>763</v>
      </c>
      <c r="AD22" s="6">
        <v>774</v>
      </c>
      <c r="AE22" s="6">
        <v>763</v>
      </c>
      <c r="AF22" s="6">
        <v>743</v>
      </c>
    </row>
    <row r="23" spans="1:32">
      <c r="A23">
        <v>191</v>
      </c>
      <c r="C23" s="3" t="s">
        <v>87</v>
      </c>
      <c r="D23" s="3" t="s">
        <v>88</v>
      </c>
      <c r="E23" t="s">
        <v>79</v>
      </c>
      <c r="F23" t="s">
        <v>89</v>
      </c>
      <c r="G23" s="3" t="s">
        <v>6</v>
      </c>
      <c r="H23" s="2">
        <v>46265.339113460599</v>
      </c>
      <c r="I23" s="3">
        <v>64.739999999999995</v>
      </c>
      <c r="J23" s="3" t="s">
        <v>46</v>
      </c>
      <c r="K23" s="5">
        <v>39.1</v>
      </c>
      <c r="L23" s="5">
        <v>169.6</v>
      </c>
      <c r="M23" s="5">
        <v>190.5</v>
      </c>
      <c r="N23" s="6">
        <v>440</v>
      </c>
      <c r="O23" s="6">
        <v>220</v>
      </c>
      <c r="P23" s="6">
        <v>1533</v>
      </c>
      <c r="Q23" s="6">
        <v>1879</v>
      </c>
      <c r="R23" s="7">
        <v>0.47</v>
      </c>
      <c r="S23" s="6">
        <v>786</v>
      </c>
      <c r="T23" s="6">
        <v>725</v>
      </c>
      <c r="U23" s="6">
        <v>200</v>
      </c>
      <c r="V23" s="6">
        <v>198</v>
      </c>
      <c r="W23" s="6">
        <v>691</v>
      </c>
      <c r="X23" s="6">
        <v>764</v>
      </c>
      <c r="Y23" s="6">
        <v>1862</v>
      </c>
      <c r="Z23" s="6">
        <v>2267</v>
      </c>
      <c r="AA23" s="6">
        <v>41975</v>
      </c>
      <c r="AB23" s="6">
        <v>32107</v>
      </c>
      <c r="AC23" s="6">
        <v>725</v>
      </c>
      <c r="AD23" s="6">
        <v>786</v>
      </c>
      <c r="AE23" s="6">
        <v>646</v>
      </c>
      <c r="AF23" s="6">
        <v>741</v>
      </c>
    </row>
    <row r="24" spans="1:32">
      <c r="A24">
        <v>191</v>
      </c>
      <c r="C24" s="3" t="s">
        <v>87</v>
      </c>
      <c r="D24" s="3" t="s">
        <v>88</v>
      </c>
      <c r="E24" t="s">
        <v>79</v>
      </c>
      <c r="F24" t="s">
        <v>89</v>
      </c>
      <c r="G24" s="3" t="s">
        <v>6</v>
      </c>
      <c r="H24" s="2">
        <v>46265.339113460599</v>
      </c>
      <c r="I24" s="3">
        <v>64.739999999999995</v>
      </c>
      <c r="J24" s="3" t="s">
        <v>47</v>
      </c>
      <c r="K24" s="5">
        <v>39.4</v>
      </c>
      <c r="L24" s="5">
        <v>178.5</v>
      </c>
      <c r="M24" s="5">
        <v>182.4</v>
      </c>
      <c r="N24" s="6">
        <v>240</v>
      </c>
      <c r="O24" s="6">
        <v>325</v>
      </c>
      <c r="P24" s="6">
        <v>2082</v>
      </c>
      <c r="Q24" s="6">
        <v>1916</v>
      </c>
      <c r="R24" s="7">
        <v>0.47</v>
      </c>
      <c r="S24" s="6">
        <v>779</v>
      </c>
      <c r="T24" s="6">
        <v>742</v>
      </c>
      <c r="U24" s="6">
        <v>194</v>
      </c>
      <c r="V24" s="6">
        <v>208</v>
      </c>
      <c r="W24" s="6">
        <v>691</v>
      </c>
      <c r="X24" s="6">
        <v>753</v>
      </c>
      <c r="Y24" s="6">
        <v>1928</v>
      </c>
      <c r="Z24" s="6">
        <v>2088</v>
      </c>
      <c r="AA24" s="6">
        <v>47447</v>
      </c>
      <c r="AB24" s="6">
        <v>37081</v>
      </c>
      <c r="AC24" s="6">
        <v>742</v>
      </c>
      <c r="AD24" s="6">
        <v>779</v>
      </c>
      <c r="AE24" s="6">
        <v>694</v>
      </c>
      <c r="AF24" s="6">
        <v>723</v>
      </c>
    </row>
    <row r="25" spans="1:32">
      <c r="A25">
        <v>186</v>
      </c>
      <c r="C25" s="3" t="s">
        <v>90</v>
      </c>
      <c r="D25" s="3" t="s">
        <v>91</v>
      </c>
      <c r="E25" t="s">
        <v>79</v>
      </c>
      <c r="F25" t="s">
        <v>89</v>
      </c>
      <c r="G25" s="3" t="s">
        <v>6</v>
      </c>
      <c r="H25" s="2">
        <v>46265.327204247696</v>
      </c>
      <c r="I25" s="3">
        <v>67.150000000000006</v>
      </c>
      <c r="J25" s="3" t="s">
        <v>45</v>
      </c>
      <c r="K25" s="5">
        <v>38.4</v>
      </c>
      <c r="L25" s="5">
        <v>209</v>
      </c>
      <c r="M25" s="5">
        <v>201</v>
      </c>
      <c r="N25" s="6">
        <v>-500</v>
      </c>
      <c r="O25" s="6">
        <v>833</v>
      </c>
      <c r="P25" s="6">
        <v>1707</v>
      </c>
      <c r="Q25" s="6">
        <v>1537</v>
      </c>
      <c r="R25" s="7">
        <v>0.42</v>
      </c>
      <c r="S25" s="6">
        <v>703</v>
      </c>
      <c r="T25" s="6">
        <v>752</v>
      </c>
      <c r="U25" s="6">
        <v>4</v>
      </c>
      <c r="V25" s="6">
        <v>266</v>
      </c>
      <c r="W25" s="6">
        <v>674</v>
      </c>
      <c r="X25" s="6">
        <v>691</v>
      </c>
      <c r="Y25" s="6">
        <v>1406</v>
      </c>
      <c r="Z25" s="6">
        <v>1254</v>
      </c>
      <c r="AA25" s="6">
        <v>14923</v>
      </c>
      <c r="AB25" s="6">
        <v>17571</v>
      </c>
      <c r="AC25" s="6">
        <v>752</v>
      </c>
      <c r="AD25" s="6">
        <v>703</v>
      </c>
      <c r="AE25" s="6">
        <v>751</v>
      </c>
      <c r="AF25" s="6">
        <v>690</v>
      </c>
    </row>
    <row r="26" spans="1:32">
      <c r="A26">
        <v>186</v>
      </c>
      <c r="C26" s="3" t="s">
        <v>90</v>
      </c>
      <c r="D26" s="3" t="s">
        <v>91</v>
      </c>
      <c r="E26" t="s">
        <v>79</v>
      </c>
      <c r="F26" t="s">
        <v>89</v>
      </c>
      <c r="G26" s="3" t="s">
        <v>6</v>
      </c>
      <c r="H26" s="2">
        <v>46265.327204247696</v>
      </c>
      <c r="I26" s="3">
        <v>67.150000000000006</v>
      </c>
      <c r="J26" s="3" t="s">
        <v>46</v>
      </c>
      <c r="K26" s="5">
        <v>39.6</v>
      </c>
      <c r="L26" s="5">
        <v>203.3</v>
      </c>
      <c r="M26" s="5">
        <v>202.5</v>
      </c>
      <c r="N26" s="6">
        <v>583</v>
      </c>
      <c r="O26" s="6">
        <v>1000</v>
      </c>
      <c r="P26" s="6">
        <v>1781</v>
      </c>
      <c r="Q26" s="6">
        <v>1984</v>
      </c>
      <c r="R26" s="7">
        <v>0.44</v>
      </c>
      <c r="S26" s="6">
        <v>783</v>
      </c>
      <c r="T26" s="6">
        <v>755</v>
      </c>
      <c r="U26" s="6">
        <v>16</v>
      </c>
      <c r="V26" s="6">
        <v>12</v>
      </c>
      <c r="W26" s="6">
        <v>670</v>
      </c>
      <c r="X26" s="6">
        <v>685</v>
      </c>
      <c r="Y26" s="6">
        <v>1491</v>
      </c>
      <c r="Z26" s="6">
        <v>1090</v>
      </c>
      <c r="AA26" s="6">
        <v>13287</v>
      </c>
      <c r="AB26" s="6">
        <v>18633</v>
      </c>
      <c r="AC26" s="6">
        <v>755</v>
      </c>
      <c r="AD26" s="6">
        <v>783</v>
      </c>
      <c r="AE26" s="6">
        <v>745</v>
      </c>
      <c r="AF26" s="6">
        <v>771</v>
      </c>
    </row>
    <row r="27" spans="1:32">
      <c r="A27">
        <v>186</v>
      </c>
      <c r="C27" s="3" t="s">
        <v>90</v>
      </c>
      <c r="D27" s="3" t="s">
        <v>91</v>
      </c>
      <c r="E27" t="s">
        <v>79</v>
      </c>
      <c r="F27" t="s">
        <v>89</v>
      </c>
      <c r="G27" s="3" t="s">
        <v>6</v>
      </c>
      <c r="H27" s="2">
        <v>46265.327204247696</v>
      </c>
      <c r="I27" s="3">
        <v>67.150000000000006</v>
      </c>
      <c r="J27" s="3" t="s">
        <v>47</v>
      </c>
      <c r="K27" s="5">
        <v>37.6</v>
      </c>
      <c r="L27" s="5">
        <v>195.5</v>
      </c>
      <c r="M27" s="5">
        <v>200.7</v>
      </c>
      <c r="N27" s="6">
        <v>833</v>
      </c>
      <c r="O27" s="6">
        <v>833</v>
      </c>
      <c r="P27" s="6">
        <v>2032</v>
      </c>
      <c r="Q27" s="6">
        <v>2203</v>
      </c>
      <c r="R27" s="7">
        <v>0.45</v>
      </c>
      <c r="S27" s="6">
        <v>801</v>
      </c>
      <c r="T27" s="6">
        <v>797</v>
      </c>
      <c r="U27" s="6">
        <v>6</v>
      </c>
      <c r="V27" s="6">
        <v>12</v>
      </c>
      <c r="W27" s="6">
        <v>647</v>
      </c>
      <c r="X27" s="6">
        <v>662</v>
      </c>
      <c r="Y27" s="6">
        <v>1183</v>
      </c>
      <c r="Z27" s="6">
        <v>1516</v>
      </c>
      <c r="AA27" s="6">
        <v>19941</v>
      </c>
      <c r="AB27" s="6">
        <v>13440</v>
      </c>
      <c r="AC27" s="6">
        <v>797</v>
      </c>
      <c r="AD27" s="6">
        <v>801</v>
      </c>
      <c r="AE27" s="6">
        <v>786</v>
      </c>
      <c r="AF27" s="6">
        <v>791</v>
      </c>
    </row>
    <row r="28" spans="1:32">
      <c r="A28">
        <v>183</v>
      </c>
      <c r="C28" s="3" t="s">
        <v>92</v>
      </c>
      <c r="D28" s="3" t="s">
        <v>93</v>
      </c>
      <c r="E28" t="s">
        <v>79</v>
      </c>
      <c r="F28" t="s">
        <v>89</v>
      </c>
      <c r="G28" s="3" t="s">
        <v>6</v>
      </c>
      <c r="H28" s="2">
        <v>46265.3224392708</v>
      </c>
      <c r="I28" s="3">
        <v>74.78</v>
      </c>
      <c r="J28" s="3" t="s">
        <v>45</v>
      </c>
      <c r="K28" s="5">
        <v>34.5</v>
      </c>
      <c r="L28" s="5">
        <v>174.2</v>
      </c>
      <c r="M28" s="5">
        <v>183.8</v>
      </c>
      <c r="N28" s="6">
        <v>1389</v>
      </c>
      <c r="O28" s="6">
        <v>556</v>
      </c>
      <c r="P28" s="6">
        <v>1944</v>
      </c>
      <c r="Q28" s="6">
        <v>2328</v>
      </c>
      <c r="R28" s="7">
        <v>0.48</v>
      </c>
      <c r="S28" s="6">
        <v>1012</v>
      </c>
      <c r="T28" s="6">
        <v>944</v>
      </c>
      <c r="U28" s="6">
        <v>62</v>
      </c>
      <c r="V28" s="6">
        <v>28</v>
      </c>
      <c r="W28" s="6">
        <v>808</v>
      </c>
      <c r="X28" s="6">
        <v>811</v>
      </c>
      <c r="Y28" s="6">
        <v>3275</v>
      </c>
      <c r="Z28" s="6">
        <v>2909</v>
      </c>
      <c r="AA28" s="6">
        <v>161601</v>
      </c>
      <c r="AB28" s="6">
        <v>204663</v>
      </c>
      <c r="AC28" s="6">
        <v>944</v>
      </c>
      <c r="AD28" s="6">
        <v>1012</v>
      </c>
      <c r="AE28" s="6">
        <v>892</v>
      </c>
      <c r="AF28" s="6">
        <v>989</v>
      </c>
    </row>
    <row r="29" spans="1:32">
      <c r="A29">
        <v>183</v>
      </c>
      <c r="C29" s="3" t="s">
        <v>92</v>
      </c>
      <c r="D29" s="3" t="s">
        <v>93</v>
      </c>
      <c r="E29" t="s">
        <v>79</v>
      </c>
      <c r="F29" t="s">
        <v>89</v>
      </c>
      <c r="G29" s="3" t="s">
        <v>6</v>
      </c>
      <c r="H29" s="2">
        <v>46265.3224392708</v>
      </c>
      <c r="I29" s="3">
        <v>74.78</v>
      </c>
      <c r="J29" s="3" t="s">
        <v>46</v>
      </c>
      <c r="K29" s="5">
        <v>34.9</v>
      </c>
      <c r="L29" s="5">
        <v>168.5</v>
      </c>
      <c r="M29" s="5">
        <v>177.6</v>
      </c>
      <c r="N29" s="6">
        <v>2250</v>
      </c>
      <c r="O29" s="6">
        <v>464</v>
      </c>
      <c r="P29" s="6">
        <v>2387</v>
      </c>
      <c r="Q29" s="6">
        <v>2476</v>
      </c>
      <c r="R29" s="7">
        <v>0.52</v>
      </c>
      <c r="S29" s="6">
        <v>1094</v>
      </c>
      <c r="T29" s="6">
        <v>1013</v>
      </c>
      <c r="U29" s="6">
        <v>32</v>
      </c>
      <c r="V29" s="6">
        <v>12</v>
      </c>
      <c r="W29" s="6">
        <v>846</v>
      </c>
      <c r="X29" s="6">
        <v>849</v>
      </c>
      <c r="Y29" s="6">
        <v>4422</v>
      </c>
      <c r="Z29" s="6">
        <v>3718</v>
      </c>
      <c r="AA29" s="6">
        <v>232364</v>
      </c>
      <c r="AB29" s="6">
        <v>315829</v>
      </c>
      <c r="AC29" s="6">
        <v>1013</v>
      </c>
      <c r="AD29" s="6">
        <v>1094</v>
      </c>
      <c r="AE29" s="6">
        <v>947</v>
      </c>
      <c r="AF29" s="6">
        <v>1073</v>
      </c>
    </row>
    <row r="30" spans="1:32">
      <c r="A30">
        <v>183</v>
      </c>
      <c r="C30" s="3" t="s">
        <v>92</v>
      </c>
      <c r="D30" s="3" t="s">
        <v>93</v>
      </c>
      <c r="E30" t="s">
        <v>79</v>
      </c>
      <c r="F30" t="s">
        <v>89</v>
      </c>
      <c r="G30" s="3" t="s">
        <v>6</v>
      </c>
      <c r="H30" s="2">
        <v>46265.3224392708</v>
      </c>
      <c r="I30" s="3">
        <v>74.78</v>
      </c>
      <c r="J30" s="3" t="s">
        <v>47</v>
      </c>
      <c r="K30" s="5">
        <v>34.5</v>
      </c>
      <c r="L30" s="5">
        <v>180.1</v>
      </c>
      <c r="M30" s="5">
        <v>193.8</v>
      </c>
      <c r="N30" s="6">
        <v>1100</v>
      </c>
      <c r="O30" s="6">
        <v>50</v>
      </c>
      <c r="P30" s="6">
        <v>1684</v>
      </c>
      <c r="Q30" s="6">
        <v>2046</v>
      </c>
      <c r="R30" s="7">
        <v>0.42</v>
      </c>
      <c r="S30" s="6">
        <v>1003</v>
      </c>
      <c r="T30" s="6">
        <v>887</v>
      </c>
      <c r="U30" s="6">
        <v>20</v>
      </c>
      <c r="V30" s="6">
        <v>14</v>
      </c>
      <c r="W30" s="6">
        <v>753</v>
      </c>
      <c r="X30" s="6">
        <v>770</v>
      </c>
      <c r="Y30" s="6">
        <v>3329</v>
      </c>
      <c r="Z30" s="6">
        <v>3794</v>
      </c>
      <c r="AA30" s="6">
        <v>158076</v>
      </c>
      <c r="AB30" s="6">
        <v>128023</v>
      </c>
      <c r="AC30" s="6">
        <v>887</v>
      </c>
      <c r="AD30" s="6">
        <v>1003</v>
      </c>
      <c r="AE30" s="6">
        <v>865</v>
      </c>
      <c r="AF30" s="6">
        <v>998</v>
      </c>
    </row>
    <row r="31" spans="1:32">
      <c r="A31">
        <v>181</v>
      </c>
      <c r="C31" s="3" t="s">
        <v>94</v>
      </c>
      <c r="D31" s="3" t="s">
        <v>95</v>
      </c>
      <c r="E31" t="s">
        <v>79</v>
      </c>
      <c r="F31" t="s">
        <v>89</v>
      </c>
      <c r="G31" s="3" t="s">
        <v>6</v>
      </c>
      <c r="H31" s="2">
        <v>46265.319345451397</v>
      </c>
      <c r="I31" s="3">
        <v>68.819999999999993</v>
      </c>
      <c r="J31" s="3" t="s">
        <v>45</v>
      </c>
      <c r="K31" s="5">
        <v>32.799999999999997</v>
      </c>
      <c r="L31" s="5">
        <v>175.2</v>
      </c>
      <c r="M31" s="5">
        <v>167.8</v>
      </c>
      <c r="N31" s="6">
        <v>571</v>
      </c>
      <c r="O31" s="6">
        <v>550</v>
      </c>
      <c r="P31" s="6">
        <v>2019</v>
      </c>
      <c r="Q31" s="6">
        <v>1702</v>
      </c>
      <c r="R31" s="7">
        <v>0.44</v>
      </c>
      <c r="S31" s="6">
        <v>821</v>
      </c>
      <c r="T31" s="6">
        <v>832</v>
      </c>
      <c r="U31" s="6">
        <v>128</v>
      </c>
      <c r="V31" s="6">
        <v>156</v>
      </c>
      <c r="W31" s="6">
        <v>762</v>
      </c>
      <c r="X31" s="6">
        <v>760</v>
      </c>
      <c r="Y31" s="6">
        <v>2616</v>
      </c>
      <c r="Z31" s="6">
        <v>4272</v>
      </c>
      <c r="AA31" s="6">
        <v>305130</v>
      </c>
      <c r="AB31" s="6">
        <v>118891</v>
      </c>
      <c r="AC31" s="6">
        <v>832</v>
      </c>
      <c r="AD31" s="6">
        <v>821</v>
      </c>
      <c r="AE31" s="6">
        <v>768</v>
      </c>
      <c r="AF31" s="6">
        <v>746</v>
      </c>
    </row>
    <row r="32" spans="1:32">
      <c r="A32">
        <v>181</v>
      </c>
      <c r="C32" s="3" t="s">
        <v>94</v>
      </c>
      <c r="D32" s="3" t="s">
        <v>95</v>
      </c>
      <c r="E32" t="s">
        <v>79</v>
      </c>
      <c r="F32" t="s">
        <v>89</v>
      </c>
      <c r="G32" s="3" t="s">
        <v>6</v>
      </c>
      <c r="H32" s="2">
        <v>46265.319345451397</v>
      </c>
      <c r="I32" s="3">
        <v>68.819999999999993</v>
      </c>
      <c r="J32" s="3" t="s">
        <v>46</v>
      </c>
      <c r="K32" s="5">
        <v>34.200000000000003</v>
      </c>
      <c r="L32" s="5">
        <v>165.5</v>
      </c>
      <c r="M32" s="5">
        <v>158.19999999999999</v>
      </c>
      <c r="N32" s="6">
        <v>347</v>
      </c>
      <c r="O32" s="6">
        <v>500</v>
      </c>
      <c r="P32" s="6">
        <v>3690</v>
      </c>
      <c r="Q32" s="6">
        <v>3631</v>
      </c>
      <c r="R32" s="7">
        <v>0.54</v>
      </c>
      <c r="S32" s="6">
        <v>873</v>
      </c>
      <c r="T32" s="6">
        <v>925</v>
      </c>
      <c r="U32" s="6">
        <v>58</v>
      </c>
      <c r="V32" s="6">
        <v>112</v>
      </c>
      <c r="W32" s="6">
        <v>825</v>
      </c>
      <c r="X32" s="6">
        <v>807</v>
      </c>
      <c r="Y32" s="6">
        <v>2648</v>
      </c>
      <c r="Z32" s="6">
        <v>3647</v>
      </c>
      <c r="AA32" s="6">
        <v>202601</v>
      </c>
      <c r="AB32" s="6">
        <v>82738</v>
      </c>
      <c r="AC32" s="6">
        <v>925</v>
      </c>
      <c r="AD32" s="6">
        <v>873</v>
      </c>
      <c r="AE32" s="6">
        <v>891</v>
      </c>
      <c r="AF32" s="6">
        <v>819</v>
      </c>
    </row>
    <row r="33" spans="1:32">
      <c r="A33">
        <v>181</v>
      </c>
      <c r="C33" s="3" t="s">
        <v>94</v>
      </c>
      <c r="D33" s="3" t="s">
        <v>95</v>
      </c>
      <c r="E33" t="s">
        <v>79</v>
      </c>
      <c r="F33" t="s">
        <v>89</v>
      </c>
      <c r="G33" s="3" t="s">
        <v>6</v>
      </c>
      <c r="H33" s="2">
        <v>46265.319345451397</v>
      </c>
      <c r="I33" s="3">
        <v>68.819999999999993</v>
      </c>
      <c r="J33" s="3" t="s">
        <v>47</v>
      </c>
      <c r="K33" s="5">
        <v>34.6</v>
      </c>
      <c r="L33" s="5">
        <v>166.7</v>
      </c>
      <c r="M33" s="5">
        <v>154.9</v>
      </c>
      <c r="N33" s="6">
        <v>-224</v>
      </c>
      <c r="O33" s="6">
        <v>755</v>
      </c>
      <c r="P33" s="6">
        <v>4038</v>
      </c>
      <c r="Q33" s="6">
        <v>3326</v>
      </c>
      <c r="R33" s="7">
        <v>0.51</v>
      </c>
      <c r="S33" s="6">
        <v>896</v>
      </c>
      <c r="T33" s="6">
        <v>974</v>
      </c>
      <c r="U33" s="6">
        <v>0</v>
      </c>
      <c r="V33" s="6">
        <v>106</v>
      </c>
      <c r="W33" s="6">
        <v>828</v>
      </c>
      <c r="X33" s="6">
        <v>826</v>
      </c>
      <c r="Y33" s="6">
        <v>3132</v>
      </c>
      <c r="Z33" s="6">
        <v>3299</v>
      </c>
      <c r="AA33" s="6">
        <v>206176</v>
      </c>
      <c r="AB33" s="6">
        <v>130484</v>
      </c>
      <c r="AC33" s="6">
        <v>969</v>
      </c>
      <c r="AD33" s="6">
        <v>896</v>
      </c>
      <c r="AE33" s="6">
        <v>974</v>
      </c>
      <c r="AF33" s="6">
        <v>819</v>
      </c>
    </row>
    <row r="34" spans="1:32">
      <c r="C34" s="3"/>
      <c r="D34" s="3"/>
      <c r="E34" s="3"/>
      <c r="F34" s="3"/>
      <c r="G34" s="3"/>
      <c r="H34" s="8"/>
      <c r="I34" s="3"/>
      <c r="J34" s="3"/>
      <c r="K34" s="5"/>
      <c r="L34" s="5"/>
      <c r="M34" s="5"/>
      <c r="N34" s="6"/>
      <c r="O34" s="6"/>
      <c r="P34" s="6"/>
      <c r="Q34" s="6"/>
      <c r="R34" s="7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>
      <c r="C35" s="3"/>
      <c r="D35" s="3"/>
      <c r="E35" s="3"/>
      <c r="F35" s="3"/>
      <c r="G35" s="3"/>
      <c r="H35" s="8"/>
      <c r="I35" s="3"/>
      <c r="J35" s="3"/>
      <c r="K35" s="5"/>
      <c r="L35" s="5"/>
      <c r="M35" s="5"/>
      <c r="N35" s="6"/>
      <c r="O35" s="6"/>
      <c r="P35" s="6"/>
      <c r="Q35" s="6"/>
      <c r="R35" s="7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>
      <c r="C36" s="3"/>
      <c r="D36" s="3"/>
      <c r="E36" s="3"/>
      <c r="F36" s="3"/>
      <c r="G36" s="3"/>
      <c r="H36" s="8"/>
      <c r="I36" s="3"/>
      <c r="J36" s="3"/>
      <c r="K36" s="5"/>
      <c r="L36" s="5"/>
      <c r="M36" s="5"/>
      <c r="N36" s="6"/>
      <c r="O36" s="6"/>
      <c r="P36" s="6"/>
      <c r="Q36" s="6"/>
      <c r="R36" s="7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>
      <c r="C37" s="3"/>
      <c r="D37" s="3"/>
      <c r="E37" s="3"/>
      <c r="F37" s="3"/>
      <c r="G37" s="3"/>
      <c r="H37" s="8"/>
      <c r="I37" s="3"/>
      <c r="J37" s="3"/>
      <c r="K37" s="5"/>
      <c r="L37" s="5"/>
      <c r="M37" s="5"/>
      <c r="N37" s="6"/>
      <c r="O37" s="6"/>
      <c r="P37" s="6"/>
      <c r="Q37" s="6"/>
      <c r="R37" s="7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>
      <c r="C38" s="3"/>
      <c r="D38" s="3"/>
      <c r="E38" s="3"/>
      <c r="F38" s="3"/>
      <c r="G38" s="3"/>
      <c r="H38" s="8"/>
      <c r="I38" s="3"/>
      <c r="J38" s="3"/>
      <c r="K38" s="5"/>
      <c r="L38" s="5"/>
      <c r="M38" s="5"/>
      <c r="N38" s="6"/>
      <c r="O38" s="6"/>
      <c r="P38" s="6"/>
      <c r="Q38" s="6"/>
      <c r="R38" s="7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>
      <c r="C39" s="3"/>
      <c r="D39" s="3"/>
      <c r="E39" s="3"/>
      <c r="F39" s="3"/>
      <c r="G39" s="3"/>
      <c r="H39" s="8"/>
      <c r="I39" s="3"/>
      <c r="J39" s="3"/>
      <c r="K39" s="5"/>
      <c r="L39" s="5"/>
      <c r="M39" s="5"/>
      <c r="N39" s="6"/>
      <c r="O39" s="6"/>
      <c r="P39" s="6"/>
      <c r="Q39" s="6"/>
      <c r="R39" s="7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C40" s="3"/>
      <c r="D40" s="3"/>
      <c r="E40" s="3"/>
      <c r="F40" s="3"/>
      <c r="G40" s="3"/>
      <c r="H40" s="8"/>
      <c r="I40" s="3"/>
      <c r="J40" s="3"/>
      <c r="K40" s="5"/>
      <c r="L40" s="5"/>
      <c r="M40" s="5"/>
      <c r="N40" s="6"/>
      <c r="O40" s="6"/>
      <c r="P40" s="6"/>
      <c r="Q40" s="6"/>
      <c r="R40" s="7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>
      <c r="C41" s="3"/>
      <c r="D41" s="3"/>
      <c r="E41" s="3"/>
      <c r="F41" s="3"/>
      <c r="G41" s="3"/>
      <c r="H41" s="8"/>
      <c r="I41" s="3"/>
      <c r="J41" s="3"/>
      <c r="K41" s="5"/>
      <c r="L41" s="5"/>
      <c r="M41" s="5"/>
      <c r="N41" s="6"/>
      <c r="O41" s="6"/>
      <c r="P41" s="6"/>
      <c r="Q41" s="6"/>
      <c r="R41" s="7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>
      <c r="C42" s="3"/>
      <c r="D42" s="3"/>
      <c r="E42" s="3"/>
      <c r="F42" s="3"/>
      <c r="G42" s="3"/>
      <c r="H42" s="8"/>
      <c r="I42" s="3"/>
      <c r="J42" s="3"/>
      <c r="K42" s="5"/>
      <c r="L42" s="5"/>
      <c r="M42" s="5"/>
      <c r="N42" s="6"/>
      <c r="O42" s="6"/>
      <c r="P42" s="6"/>
      <c r="Q42" s="6"/>
      <c r="R42" s="7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>
      <c r="C43" s="3"/>
      <c r="D43" s="3"/>
      <c r="E43" s="3"/>
      <c r="F43" s="3"/>
      <c r="G43" s="3"/>
      <c r="H43" s="8"/>
      <c r="I43" s="3"/>
      <c r="J43" s="3"/>
      <c r="K43" s="5"/>
      <c r="L43" s="5"/>
      <c r="M43" s="5"/>
      <c r="N43" s="6"/>
      <c r="O43" s="6"/>
      <c r="P43" s="6"/>
      <c r="Q43" s="6"/>
      <c r="R43" s="7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>
      <c r="C44" s="3"/>
      <c r="D44" s="3"/>
      <c r="E44" s="3"/>
      <c r="F44" s="3"/>
      <c r="G44" s="3"/>
      <c r="H44" s="8"/>
      <c r="I44" s="3"/>
      <c r="J44" s="3"/>
      <c r="K44" s="5"/>
      <c r="L44" s="5"/>
      <c r="M44" s="5"/>
      <c r="N44" s="6"/>
      <c r="O44" s="6"/>
      <c r="P44" s="6"/>
      <c r="Q44" s="6"/>
      <c r="R44" s="7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>
      <c r="C45" s="3"/>
      <c r="D45" s="3"/>
      <c r="E45" s="3"/>
      <c r="F45" s="3"/>
      <c r="G45" s="3"/>
      <c r="H45" s="8"/>
      <c r="I45" s="3"/>
      <c r="J45" s="3"/>
      <c r="K45" s="5"/>
      <c r="L45" s="5"/>
      <c r="M45" s="5"/>
      <c r="N45" s="6"/>
      <c r="O45" s="6"/>
      <c r="P45" s="6"/>
      <c r="Q45" s="6"/>
      <c r="R45" s="7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>
      <c r="C46" s="3"/>
      <c r="D46" s="3"/>
      <c r="E46" s="3"/>
      <c r="F46" s="3"/>
      <c r="G46" s="3"/>
      <c r="H46" s="8"/>
      <c r="I46" s="3"/>
      <c r="J46" s="3"/>
      <c r="K46" s="5"/>
      <c r="L46" s="5"/>
      <c r="M46" s="5"/>
      <c r="N46" s="6"/>
      <c r="O46" s="6"/>
      <c r="P46" s="6"/>
      <c r="Q46" s="6"/>
      <c r="R46" s="7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>
      <c r="C47" s="3"/>
      <c r="D47" s="3"/>
      <c r="E47" s="3"/>
      <c r="F47" s="3"/>
      <c r="G47" s="3"/>
      <c r="H47" s="8"/>
      <c r="I47" s="3"/>
      <c r="J47" s="3"/>
      <c r="K47" s="5"/>
      <c r="L47" s="5"/>
      <c r="M47" s="5"/>
      <c r="N47" s="6"/>
      <c r="O47" s="6"/>
      <c r="P47" s="6"/>
      <c r="Q47" s="6"/>
      <c r="R47" s="7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>
      <c r="C48" s="3"/>
      <c r="D48" s="3"/>
      <c r="E48" s="3"/>
      <c r="F48" s="3"/>
      <c r="G48" s="3"/>
      <c r="H48" s="8"/>
      <c r="I48" s="3"/>
      <c r="J48" s="3"/>
      <c r="K48" s="5"/>
      <c r="L48" s="5"/>
      <c r="M48" s="5"/>
      <c r="N48" s="6"/>
      <c r="O48" s="6"/>
      <c r="P48" s="6"/>
      <c r="Q48" s="6"/>
      <c r="R48" s="7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3:32">
      <c r="C49" s="3"/>
      <c r="D49" s="3"/>
      <c r="E49" s="3"/>
      <c r="F49" s="3"/>
      <c r="G49" s="3"/>
      <c r="H49" s="8"/>
      <c r="I49" s="3"/>
      <c r="J49" s="3"/>
      <c r="K49" s="5"/>
      <c r="L49" s="5"/>
      <c r="M49" s="5"/>
      <c r="N49" s="6"/>
      <c r="O49" s="6"/>
      <c r="P49" s="6"/>
      <c r="Q49" s="6"/>
      <c r="R49" s="7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3:32">
      <c r="C50" s="3"/>
      <c r="D50" s="3"/>
      <c r="E50" s="3"/>
      <c r="F50" s="3"/>
      <c r="G50" s="3"/>
      <c r="H50" s="8"/>
      <c r="I50" s="3"/>
      <c r="J50" s="3"/>
      <c r="K50" s="5"/>
      <c r="L50" s="5"/>
      <c r="M50" s="5"/>
      <c r="N50" s="6"/>
      <c r="O50" s="6"/>
      <c r="P50" s="6"/>
      <c r="Q50" s="6"/>
      <c r="R50" s="7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3:32">
      <c r="C51" s="3"/>
      <c r="D51" s="3"/>
      <c r="E51" s="3"/>
      <c r="F51" s="3"/>
      <c r="G51" s="3"/>
      <c r="H51" s="8"/>
      <c r="I51" s="3"/>
      <c r="J51" s="3"/>
      <c r="K51" s="5"/>
      <c r="L51" s="5"/>
      <c r="M51" s="5"/>
      <c r="N51" s="6"/>
      <c r="O51" s="6"/>
      <c r="P51" s="6"/>
      <c r="Q51" s="6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3:32">
      <c r="C52" s="3"/>
      <c r="D52" s="3"/>
      <c r="E52" s="3"/>
      <c r="F52" s="3"/>
      <c r="G52" s="3"/>
      <c r="H52" s="8"/>
      <c r="I52" s="3"/>
      <c r="J52" s="3"/>
      <c r="K52" s="5"/>
      <c r="L52" s="5"/>
      <c r="M52" s="5"/>
      <c r="N52" s="6"/>
      <c r="O52" s="6"/>
      <c r="P52" s="6"/>
      <c r="Q52" s="6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3:32">
      <c r="C53" s="3"/>
      <c r="D53" s="3"/>
      <c r="E53" s="3"/>
      <c r="F53" s="3"/>
      <c r="G53" s="3"/>
      <c r="H53" s="8"/>
      <c r="I53" s="3"/>
      <c r="J53" s="3"/>
      <c r="K53" s="5"/>
      <c r="L53" s="5"/>
      <c r="M53" s="5"/>
      <c r="N53" s="6"/>
      <c r="O53" s="6"/>
      <c r="P53" s="6"/>
      <c r="Q53" s="6"/>
      <c r="R53" s="7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3:32">
      <c r="C54" s="3"/>
      <c r="D54" s="3"/>
      <c r="E54" s="3"/>
      <c r="F54" s="3"/>
      <c r="G54" s="3"/>
      <c r="H54" s="8"/>
      <c r="I54" s="3"/>
      <c r="J54" s="3"/>
      <c r="K54" s="5"/>
      <c r="L54" s="5"/>
      <c r="M54" s="5"/>
      <c r="N54" s="6"/>
      <c r="O54" s="6"/>
      <c r="P54" s="6"/>
      <c r="Q54" s="6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3:32">
      <c r="C55" s="3"/>
      <c r="D55" s="3"/>
      <c r="E55" s="3"/>
      <c r="F55" s="3"/>
      <c r="G55" s="3"/>
      <c r="H55" s="8"/>
      <c r="I55" s="3"/>
      <c r="J55" s="3"/>
      <c r="K55" s="5"/>
      <c r="L55" s="5"/>
      <c r="M55" s="5"/>
      <c r="N55" s="6"/>
      <c r="O55" s="6"/>
      <c r="P55" s="6"/>
      <c r="Q55" s="6"/>
      <c r="R55" s="7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3:32">
      <c r="C56" s="3"/>
      <c r="D56" s="3"/>
      <c r="E56" s="3"/>
      <c r="F56" s="3"/>
      <c r="G56" s="3"/>
      <c r="H56" s="8"/>
      <c r="I56" s="3"/>
      <c r="J56" s="3"/>
      <c r="K56" s="5"/>
      <c r="L56" s="5"/>
      <c r="M56" s="5"/>
      <c r="N56" s="6"/>
      <c r="O56" s="6"/>
      <c r="P56" s="6"/>
      <c r="Q56" s="6"/>
      <c r="R56" s="7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3:32">
      <c r="C57" s="3"/>
      <c r="D57" s="3"/>
      <c r="E57" s="3"/>
      <c r="F57" s="3"/>
      <c r="G57" s="3"/>
      <c r="H57" s="8"/>
      <c r="I57" s="3"/>
      <c r="J57" s="3"/>
      <c r="K57" s="5"/>
      <c r="L57" s="5"/>
      <c r="M57" s="5"/>
      <c r="N57" s="6"/>
      <c r="O57" s="6"/>
      <c r="P57" s="6"/>
      <c r="Q57" s="6"/>
      <c r="R57" s="7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3:32">
      <c r="C58" s="3"/>
      <c r="D58" s="3"/>
      <c r="E58" s="3"/>
      <c r="F58" s="3"/>
      <c r="G58" s="3"/>
      <c r="H58" s="8"/>
      <c r="I58" s="3"/>
      <c r="J58" s="3"/>
      <c r="K58" s="5"/>
      <c r="L58" s="5"/>
      <c r="M58" s="5"/>
      <c r="N58" s="6"/>
      <c r="O58" s="6"/>
      <c r="P58" s="6"/>
      <c r="Q58" s="6"/>
      <c r="R58" s="7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3:32">
      <c r="C59" s="3"/>
      <c r="D59" s="3"/>
      <c r="E59" s="3"/>
      <c r="F59" s="3"/>
      <c r="G59" s="3"/>
      <c r="H59" s="8"/>
      <c r="I59" s="3"/>
      <c r="J59" s="3"/>
      <c r="K59" s="5"/>
      <c r="L59" s="5"/>
      <c r="M59" s="5"/>
      <c r="N59" s="6"/>
      <c r="O59" s="6"/>
      <c r="P59" s="6"/>
      <c r="Q59" s="6"/>
      <c r="R59" s="7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3:32">
      <c r="C60" s="3"/>
      <c r="D60" s="3"/>
      <c r="E60" s="3"/>
      <c r="F60" s="3"/>
      <c r="G60" s="3"/>
      <c r="H60" s="8"/>
      <c r="I60" s="3"/>
      <c r="J60" s="3"/>
      <c r="K60" s="5"/>
      <c r="L60" s="5"/>
      <c r="M60" s="5"/>
      <c r="N60" s="6"/>
      <c r="O60" s="6"/>
      <c r="P60" s="6"/>
      <c r="Q60" s="6"/>
      <c r="R60" s="7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3:32">
      <c r="C61" s="3"/>
      <c r="D61" s="3"/>
      <c r="E61" s="3"/>
      <c r="F61" s="3"/>
      <c r="G61" s="3"/>
      <c r="H61" s="8"/>
      <c r="I61" s="3"/>
      <c r="J61" s="3"/>
      <c r="K61" s="5"/>
      <c r="L61" s="5"/>
      <c r="M61" s="5"/>
      <c r="N61" s="6"/>
      <c r="O61" s="6"/>
      <c r="P61" s="6"/>
      <c r="Q61" s="6"/>
      <c r="R61" s="7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3:32">
      <c r="C62" s="3"/>
      <c r="D62" s="3"/>
      <c r="E62" s="3"/>
      <c r="F62" s="3"/>
      <c r="G62" s="3"/>
      <c r="H62" s="8"/>
      <c r="I62" s="3"/>
      <c r="J62" s="3"/>
      <c r="K62" s="5"/>
      <c r="L62" s="5"/>
      <c r="M62" s="5"/>
      <c r="N62" s="6"/>
      <c r="O62" s="6"/>
      <c r="P62" s="6"/>
      <c r="Q62" s="6"/>
      <c r="R62" s="7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3:32">
      <c r="C63" s="3"/>
      <c r="D63" s="3"/>
      <c r="E63" s="3"/>
      <c r="F63" s="3"/>
      <c r="G63" s="3"/>
      <c r="H63" s="8"/>
      <c r="I63" s="3"/>
      <c r="J63" s="3"/>
      <c r="K63" s="5"/>
      <c r="L63" s="5"/>
      <c r="M63" s="5"/>
      <c r="N63" s="6"/>
      <c r="O63" s="6"/>
      <c r="P63" s="6"/>
      <c r="Q63" s="6"/>
      <c r="R63" s="7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3:32">
      <c r="C64" s="3"/>
      <c r="D64" s="3"/>
      <c r="E64" s="3"/>
      <c r="F64" s="3"/>
      <c r="G64" s="3"/>
      <c r="H64" s="8"/>
      <c r="I64" s="3"/>
      <c r="J64" s="3"/>
      <c r="K64" s="5"/>
      <c r="L64" s="5"/>
      <c r="M64" s="5"/>
      <c r="N64" s="6"/>
      <c r="O64" s="6"/>
      <c r="P64" s="6"/>
      <c r="Q64" s="6"/>
      <c r="R64" s="7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3:32">
      <c r="C65" s="3"/>
      <c r="D65" s="3"/>
      <c r="E65" s="3"/>
      <c r="F65" s="3"/>
      <c r="G65" s="3"/>
      <c r="H65" s="8"/>
      <c r="I65" s="3"/>
      <c r="J65" s="3"/>
      <c r="K65" s="5"/>
      <c r="L65" s="5"/>
      <c r="M65" s="5"/>
      <c r="N65" s="6"/>
      <c r="O65" s="6"/>
      <c r="P65" s="6"/>
      <c r="Q65" s="6"/>
      <c r="R65" s="7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3:32">
      <c r="C66" s="3"/>
      <c r="D66" s="3"/>
      <c r="E66" s="3"/>
      <c r="F66" s="3"/>
      <c r="G66" s="3"/>
      <c r="H66" s="8"/>
      <c r="I66" s="3"/>
      <c r="J66" s="3"/>
      <c r="K66" s="5"/>
      <c r="L66" s="5"/>
      <c r="M66" s="5"/>
      <c r="N66" s="6"/>
      <c r="O66" s="6"/>
      <c r="P66" s="6"/>
      <c r="Q66" s="6"/>
      <c r="R66" s="7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3:32">
      <c r="C67" s="3"/>
      <c r="D67" s="3"/>
      <c r="E67" s="3"/>
      <c r="F67" s="3"/>
      <c r="G67" s="3"/>
      <c r="H67" s="8"/>
      <c r="I67" s="3"/>
      <c r="J67" s="3"/>
      <c r="K67" s="5"/>
      <c r="L67" s="5"/>
      <c r="M67" s="5"/>
      <c r="N67" s="6"/>
      <c r="O67" s="6"/>
      <c r="P67" s="6"/>
      <c r="Q67" s="6"/>
      <c r="R67" s="7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3:32">
      <c r="C68" s="3"/>
      <c r="D68" s="3"/>
      <c r="E68" s="3"/>
      <c r="F68" s="3"/>
      <c r="G68" s="3"/>
      <c r="H68" s="8"/>
      <c r="I68" s="3"/>
      <c r="J68" s="3"/>
      <c r="K68" s="5"/>
      <c r="L68" s="5"/>
      <c r="M68" s="5"/>
      <c r="N68" s="6"/>
      <c r="O68" s="6"/>
      <c r="P68" s="6"/>
      <c r="Q68" s="6"/>
      <c r="R68" s="7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3:32">
      <c r="C69" s="3"/>
      <c r="D69" s="3"/>
      <c r="E69" s="3"/>
      <c r="F69" s="3"/>
      <c r="G69" s="3"/>
      <c r="H69" s="8"/>
      <c r="I69" s="3"/>
      <c r="J69" s="3"/>
      <c r="K69" s="5"/>
      <c r="L69" s="5"/>
      <c r="M69" s="5"/>
      <c r="N69" s="6"/>
      <c r="O69" s="6"/>
      <c r="P69" s="6"/>
      <c r="Q69" s="6"/>
      <c r="R69" s="7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3:32">
      <c r="C70" s="3"/>
      <c r="D70" s="3"/>
      <c r="E70" s="3"/>
      <c r="F70" s="3"/>
      <c r="G70" s="3"/>
      <c r="H70" s="8"/>
      <c r="I70" s="3"/>
      <c r="J70" s="3"/>
      <c r="K70" s="5"/>
      <c r="L70" s="5"/>
      <c r="M70" s="5"/>
      <c r="N70" s="6"/>
      <c r="O70" s="6"/>
      <c r="P70" s="6"/>
      <c r="Q70" s="6"/>
      <c r="R70" s="7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3:32">
      <c r="C71" s="3"/>
      <c r="D71" s="3"/>
      <c r="E71" s="3"/>
      <c r="F71" s="3"/>
      <c r="G71" s="3"/>
      <c r="H71" s="8"/>
      <c r="I71" s="3"/>
      <c r="J71" s="3"/>
      <c r="K71" s="5"/>
      <c r="L71" s="5"/>
      <c r="M71" s="5"/>
      <c r="N71" s="6"/>
      <c r="O71" s="6"/>
      <c r="P71" s="6"/>
      <c r="Q71" s="6"/>
      <c r="R71" s="7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3:32">
      <c r="C72" s="3"/>
      <c r="D72" s="3"/>
      <c r="E72" s="3"/>
      <c r="F72" s="3"/>
      <c r="G72" s="3"/>
      <c r="H72" s="8"/>
      <c r="I72" s="3"/>
      <c r="J72" s="3"/>
      <c r="K72" s="5"/>
      <c r="L72" s="5"/>
      <c r="M72" s="5"/>
      <c r="N72" s="6"/>
      <c r="O72" s="6"/>
      <c r="P72" s="6"/>
      <c r="Q72" s="6"/>
      <c r="R72" s="7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3:32">
      <c r="C73" s="3"/>
      <c r="D73" s="3"/>
      <c r="E73" s="3"/>
      <c r="F73" s="3"/>
      <c r="G73" s="3"/>
      <c r="H73" s="8"/>
      <c r="I73" s="3"/>
      <c r="J73" s="3"/>
      <c r="K73" s="5"/>
      <c r="L73" s="5"/>
      <c r="M73" s="5"/>
      <c r="N73" s="6"/>
      <c r="O73" s="6"/>
      <c r="P73" s="6"/>
      <c r="Q73" s="6"/>
      <c r="R73" s="7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3:32">
      <c r="C74" s="3"/>
      <c r="D74" s="3"/>
      <c r="E74" s="3"/>
      <c r="F74" s="3"/>
      <c r="G74" s="3"/>
      <c r="H74" s="8"/>
      <c r="I74" s="3"/>
      <c r="J74" s="3"/>
      <c r="K74" s="5"/>
      <c r="L74" s="5"/>
      <c r="M74" s="5"/>
      <c r="N74" s="6"/>
      <c r="O74" s="6"/>
      <c r="P74" s="6"/>
      <c r="Q74" s="6"/>
      <c r="R74" s="7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3:32">
      <c r="C75" s="3"/>
      <c r="D75" s="3"/>
      <c r="E75" s="3"/>
      <c r="F75" s="3"/>
      <c r="G75" s="3"/>
      <c r="H75" s="8"/>
      <c r="I75" s="3"/>
      <c r="J75" s="3"/>
      <c r="K75" s="5"/>
      <c r="L75" s="5"/>
      <c r="M75" s="5"/>
      <c r="N75" s="6"/>
      <c r="O75" s="6"/>
      <c r="P75" s="6"/>
      <c r="Q75" s="6"/>
      <c r="R75" s="7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3:32">
      <c r="C76" s="3"/>
      <c r="D76" s="3"/>
      <c r="E76" s="3"/>
      <c r="F76" s="3"/>
      <c r="G76" s="3"/>
      <c r="H76" s="8"/>
      <c r="I76" s="3"/>
      <c r="J76" s="3"/>
      <c r="K76" s="5"/>
      <c r="L76" s="5"/>
      <c r="M76" s="5"/>
      <c r="N76" s="6"/>
      <c r="O76" s="6"/>
      <c r="P76" s="6"/>
      <c r="Q76" s="6"/>
      <c r="R76" s="7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3:32">
      <c r="C77" s="3"/>
      <c r="D77" s="3"/>
      <c r="E77" s="3"/>
      <c r="F77" s="3"/>
      <c r="G77" s="3"/>
      <c r="H77" s="8"/>
      <c r="I77" s="3"/>
      <c r="J77" s="3"/>
      <c r="K77" s="5"/>
      <c r="L77" s="5"/>
      <c r="M77" s="5"/>
      <c r="N77" s="6"/>
      <c r="O77" s="6"/>
      <c r="P77" s="6"/>
      <c r="Q77" s="6"/>
      <c r="R77" s="7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3:32">
      <c r="C78" s="3"/>
      <c r="D78" s="3"/>
      <c r="E78" s="3"/>
      <c r="F78" s="3"/>
      <c r="G78" s="3"/>
      <c r="H78" s="8"/>
      <c r="I78" s="3"/>
      <c r="J78" s="3"/>
      <c r="K78" s="5"/>
      <c r="L78" s="5"/>
      <c r="M78" s="5"/>
      <c r="N78" s="6"/>
      <c r="O78" s="6"/>
      <c r="P78" s="6"/>
      <c r="Q78" s="6"/>
      <c r="R78" s="7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3:32">
      <c r="C79" s="3"/>
      <c r="D79" s="3"/>
      <c r="E79" s="3"/>
      <c r="F79" s="3"/>
      <c r="G79" s="3"/>
      <c r="H79" s="8"/>
      <c r="I79" s="3"/>
      <c r="J79" s="3"/>
      <c r="K79" s="5"/>
      <c r="L79" s="5"/>
      <c r="M79" s="5"/>
      <c r="N79" s="6"/>
      <c r="O79" s="6"/>
      <c r="P79" s="6"/>
      <c r="Q79" s="6"/>
      <c r="R79" s="7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3:32">
      <c r="C80" s="3"/>
      <c r="D80" s="3"/>
      <c r="E80" s="3"/>
      <c r="F80" s="3"/>
      <c r="G80" s="3"/>
      <c r="H80" s="8"/>
      <c r="I80" s="3"/>
      <c r="J80" s="3"/>
      <c r="K80" s="5"/>
      <c r="L80" s="5"/>
      <c r="M80" s="5"/>
      <c r="N80" s="6"/>
      <c r="O80" s="6"/>
      <c r="P80" s="6"/>
      <c r="Q80" s="6"/>
      <c r="R80" s="7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3:32">
      <c r="C81" s="3"/>
      <c r="D81" s="3"/>
      <c r="E81" s="3"/>
      <c r="F81" s="3"/>
      <c r="G81" s="3"/>
      <c r="H81" s="8"/>
      <c r="I81" s="3"/>
      <c r="J81" s="3"/>
      <c r="K81" s="5"/>
      <c r="L81" s="5"/>
      <c r="M81" s="5"/>
      <c r="N81" s="6"/>
      <c r="O81" s="6"/>
      <c r="P81" s="6"/>
      <c r="Q81" s="6"/>
      <c r="R81" s="7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3:32">
      <c r="C82" s="3"/>
      <c r="D82" s="3"/>
      <c r="G82" s="3"/>
      <c r="H82" s="8"/>
      <c r="I82" s="3"/>
      <c r="J82" s="3"/>
      <c r="K82" s="5"/>
      <c r="L82" s="5"/>
      <c r="M82" s="5"/>
      <c r="N82" s="6"/>
      <c r="O82" s="6"/>
      <c r="P82" s="6"/>
      <c r="Q82" s="6"/>
      <c r="R82" s="7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3:32">
      <c r="C83" s="3"/>
      <c r="D83" s="3"/>
      <c r="G83" s="3"/>
      <c r="H83" s="8"/>
      <c r="I83" s="3"/>
      <c r="J83" s="3"/>
      <c r="K83" s="5"/>
      <c r="L83" s="5"/>
      <c r="M83" s="5"/>
      <c r="N83" s="6"/>
      <c r="O83" s="6"/>
      <c r="P83" s="6"/>
      <c r="Q83" s="6"/>
      <c r="R83" s="7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3:32">
      <c r="C84" s="3"/>
      <c r="D84" s="3"/>
      <c r="G84" s="3"/>
      <c r="H84" s="8"/>
      <c r="I84" s="3"/>
      <c r="J84" s="3"/>
      <c r="K84" s="5"/>
      <c r="L84" s="5"/>
      <c r="M84" s="5"/>
      <c r="N84" s="6"/>
      <c r="O84" s="6"/>
      <c r="P84" s="6"/>
      <c r="Q84" s="6"/>
      <c r="R84" s="7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3:32">
      <c r="C85" s="3"/>
      <c r="D85" s="3"/>
      <c r="G85" s="3"/>
      <c r="H85" s="8"/>
      <c r="I85" s="3"/>
      <c r="J85" s="3"/>
      <c r="K85" s="5"/>
      <c r="L85" s="5"/>
      <c r="M85" s="5"/>
      <c r="N85" s="6"/>
      <c r="O85" s="6"/>
      <c r="P85" s="6"/>
      <c r="Q85" s="6"/>
      <c r="R85" s="7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3:32">
      <c r="C86" s="3"/>
      <c r="D86" s="3"/>
      <c r="G86" s="3"/>
      <c r="H86" s="8"/>
      <c r="I86" s="3"/>
      <c r="J86" s="3"/>
      <c r="K86" s="5"/>
      <c r="L86" s="5"/>
      <c r="M86" s="5"/>
      <c r="N86" s="6"/>
      <c r="O86" s="6"/>
      <c r="P86" s="6"/>
      <c r="Q86" s="6"/>
      <c r="R86" s="7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3:32">
      <c r="C87" s="3"/>
      <c r="D87" s="3"/>
      <c r="G87" s="3"/>
      <c r="H87" s="8"/>
      <c r="I87" s="3"/>
      <c r="J87" s="3"/>
      <c r="K87" s="5"/>
      <c r="L87" s="5"/>
      <c r="M87" s="5"/>
      <c r="N87" s="6"/>
      <c r="O87" s="6"/>
      <c r="P87" s="6"/>
      <c r="Q87" s="6"/>
      <c r="R87" s="7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3:32">
      <c r="C88" s="3"/>
      <c r="D88" s="3"/>
      <c r="G88" s="3"/>
      <c r="H88" s="8"/>
      <c r="I88" s="3"/>
      <c r="J88" s="3"/>
      <c r="K88" s="5"/>
      <c r="L88" s="5"/>
      <c r="M88" s="5"/>
      <c r="N88" s="6"/>
      <c r="O88" s="6"/>
      <c r="P88" s="6"/>
      <c r="Q88" s="6"/>
      <c r="R88" s="7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3:32">
      <c r="C89" s="3"/>
      <c r="D89" s="3"/>
      <c r="G89" s="3"/>
      <c r="H89" s="8"/>
      <c r="I89" s="3"/>
      <c r="J89" s="3"/>
      <c r="K89" s="5"/>
      <c r="L89" s="5"/>
      <c r="M89" s="5"/>
      <c r="N89" s="6"/>
      <c r="O89" s="6"/>
      <c r="P89" s="6"/>
      <c r="Q89" s="6"/>
      <c r="R89" s="7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3:32">
      <c r="C90" s="3"/>
      <c r="D90" s="3"/>
      <c r="G90" s="3"/>
      <c r="H90" s="8"/>
      <c r="I90" s="3"/>
      <c r="J90" s="3"/>
      <c r="K90" s="5"/>
      <c r="L90" s="5"/>
      <c r="M90" s="5"/>
      <c r="N90" s="6"/>
      <c r="O90" s="6"/>
      <c r="P90" s="6"/>
      <c r="Q90" s="6"/>
      <c r="R90" s="7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3:32">
      <c r="C91" s="3"/>
      <c r="D91" s="3"/>
      <c r="G91" s="3"/>
      <c r="H91" s="8"/>
      <c r="I91" s="3"/>
      <c r="J91" s="3"/>
      <c r="K91" s="5"/>
      <c r="L91" s="5"/>
      <c r="M91" s="5"/>
      <c r="N91" s="6"/>
      <c r="O91" s="6"/>
      <c r="P91" s="6"/>
      <c r="Q91" s="6"/>
      <c r="R91" s="7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3:32">
      <c r="C92" s="3"/>
      <c r="D92" s="3"/>
      <c r="G92" s="3"/>
      <c r="H92" s="8"/>
      <c r="I92" s="3"/>
      <c r="J92" s="3"/>
      <c r="K92" s="5"/>
      <c r="L92" s="5"/>
      <c r="M92" s="5"/>
      <c r="N92" s="6"/>
      <c r="O92" s="6"/>
      <c r="P92" s="6"/>
      <c r="Q92" s="6"/>
      <c r="R92" s="7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3:32">
      <c r="C93" s="3"/>
      <c r="D93" s="3"/>
      <c r="G93" s="3"/>
      <c r="H93" s="8"/>
      <c r="I93" s="3"/>
      <c r="J93" s="3"/>
      <c r="K93" s="5"/>
      <c r="L93" s="5"/>
      <c r="M93" s="5"/>
      <c r="N93" s="6"/>
      <c r="O93" s="6"/>
      <c r="P93" s="6"/>
      <c r="Q93" s="6"/>
      <c r="R93" s="7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3:32">
      <c r="C94" s="3"/>
      <c r="D94" s="3"/>
      <c r="G94" s="3"/>
      <c r="H94" s="8"/>
      <c r="I94" s="3"/>
      <c r="J94" s="3"/>
      <c r="K94" s="5"/>
      <c r="L94" s="5"/>
      <c r="M94" s="5"/>
      <c r="N94" s="6"/>
      <c r="O94" s="6"/>
      <c r="P94" s="6"/>
      <c r="Q94" s="6"/>
      <c r="R94" s="7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3:32">
      <c r="C95" s="3"/>
      <c r="D95" s="3"/>
      <c r="G95" s="3"/>
      <c r="H95" s="8"/>
      <c r="I95" s="3"/>
      <c r="J95" s="3"/>
      <c r="K95" s="5"/>
      <c r="L95" s="5"/>
      <c r="M95" s="5"/>
      <c r="N95" s="6"/>
      <c r="O95" s="6"/>
      <c r="P95" s="6"/>
      <c r="Q95" s="6"/>
      <c r="R95" s="7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3:32">
      <c r="C96" s="3"/>
      <c r="D96" s="3"/>
      <c r="G96" s="3"/>
      <c r="H96" s="8"/>
      <c r="I96" s="3"/>
      <c r="J96" s="3"/>
      <c r="K96" s="5"/>
      <c r="L96" s="5"/>
      <c r="M96" s="5"/>
      <c r="N96" s="6"/>
      <c r="O96" s="6"/>
      <c r="P96" s="6"/>
      <c r="Q96" s="6"/>
      <c r="R96" s="7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3:32">
      <c r="C97" s="3"/>
      <c r="D97" s="3"/>
      <c r="G97" s="3"/>
      <c r="H97" s="8"/>
      <c r="I97" s="3"/>
      <c r="J97" s="3"/>
      <c r="K97" s="5"/>
      <c r="L97" s="5"/>
      <c r="M97" s="5"/>
      <c r="N97" s="6"/>
      <c r="O97" s="6"/>
      <c r="P97" s="6"/>
      <c r="Q97" s="6"/>
      <c r="R97" s="7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3:32">
      <c r="C98" s="3"/>
      <c r="D98" s="3"/>
      <c r="G98" s="3"/>
      <c r="H98" s="8"/>
      <c r="I98" s="3"/>
      <c r="J98" s="3"/>
      <c r="K98" s="5"/>
      <c r="L98" s="5"/>
      <c r="M98" s="5"/>
      <c r="N98" s="6"/>
      <c r="O98" s="6"/>
      <c r="P98" s="6"/>
      <c r="Q98" s="6"/>
      <c r="R98" s="7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3:32">
      <c r="C99" s="3"/>
      <c r="D99" s="3"/>
      <c r="G99" s="3"/>
      <c r="H99" s="8"/>
      <c r="I99" s="3"/>
      <c r="J99" s="3"/>
      <c r="K99" s="5"/>
      <c r="L99" s="5"/>
      <c r="M99" s="5"/>
      <c r="N99" s="6"/>
      <c r="O99" s="6"/>
      <c r="P99" s="6"/>
      <c r="Q99" s="6"/>
      <c r="R99" s="7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3:32">
      <c r="C100" s="3"/>
      <c r="D100" s="3"/>
      <c r="G100" s="3"/>
      <c r="H100" s="8"/>
      <c r="I100" s="3"/>
      <c r="J100" s="3"/>
      <c r="K100" s="5"/>
      <c r="L100" s="5"/>
      <c r="M100" s="5"/>
      <c r="N100" s="6"/>
      <c r="O100" s="6"/>
      <c r="P100" s="6"/>
      <c r="Q100" s="6"/>
      <c r="R100" s="7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3:32">
      <c r="C101" s="3"/>
      <c r="D101" s="3"/>
      <c r="G101" s="3"/>
      <c r="H101" s="8"/>
      <c r="I101" s="3"/>
      <c r="J101" s="3"/>
      <c r="K101" s="5"/>
      <c r="L101" s="5"/>
      <c r="M101" s="5"/>
      <c r="N101" s="6"/>
      <c r="O101" s="6"/>
      <c r="P101" s="6"/>
      <c r="Q101" s="6"/>
      <c r="R101" s="7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3:32">
      <c r="C102" s="3"/>
      <c r="D102" s="3"/>
      <c r="G102" s="3"/>
      <c r="H102" s="8"/>
      <c r="I102" s="3"/>
      <c r="J102" s="3"/>
      <c r="K102" s="5"/>
      <c r="L102" s="5"/>
      <c r="M102" s="5"/>
      <c r="N102" s="6"/>
      <c r="O102" s="6"/>
      <c r="P102" s="6"/>
      <c r="Q102" s="6"/>
      <c r="R102" s="7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3:32">
      <c r="C103" s="3"/>
      <c r="D103" s="3"/>
      <c r="G103" s="3"/>
      <c r="H103" s="8"/>
      <c r="I103" s="3"/>
      <c r="J103" s="3"/>
      <c r="K103" s="5"/>
      <c r="L103" s="5"/>
      <c r="M103" s="5"/>
      <c r="N103" s="6"/>
      <c r="O103" s="6"/>
      <c r="P103" s="6"/>
      <c r="Q103" s="6"/>
      <c r="R103" s="7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3:32">
      <c r="C104" s="3"/>
      <c r="D104" s="3"/>
      <c r="G104" s="3"/>
      <c r="H104" s="8"/>
      <c r="I104" s="3"/>
      <c r="J104" s="3"/>
      <c r="K104" s="5"/>
      <c r="L104" s="5"/>
      <c r="M104" s="5"/>
      <c r="N104" s="6"/>
      <c r="O104" s="6"/>
      <c r="P104" s="6"/>
      <c r="Q104" s="6"/>
      <c r="R104" s="7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3:32">
      <c r="C105" s="3"/>
      <c r="D105" s="3"/>
      <c r="G105" s="3"/>
      <c r="H105" s="8"/>
      <c r="I105" s="3"/>
      <c r="J105" s="3"/>
      <c r="K105" s="5"/>
      <c r="L105" s="5"/>
      <c r="M105" s="5"/>
      <c r="N105" s="6"/>
      <c r="O105" s="6"/>
      <c r="P105" s="6"/>
      <c r="Q105" s="6"/>
      <c r="R105" s="7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3:32">
      <c r="C106" s="3"/>
      <c r="D106" s="3"/>
      <c r="G106" s="3"/>
      <c r="H106" s="8"/>
      <c r="I106" s="3"/>
      <c r="J106" s="3"/>
      <c r="K106" s="5"/>
      <c r="L106" s="5"/>
      <c r="M106" s="5"/>
      <c r="N106" s="6"/>
      <c r="O106" s="6"/>
      <c r="P106" s="6"/>
      <c r="Q106" s="6"/>
      <c r="R106" s="7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3:32">
      <c r="C107" s="3"/>
      <c r="D107" s="3"/>
      <c r="G107" s="3"/>
      <c r="H107" s="8"/>
      <c r="I107" s="3"/>
      <c r="J107" s="3"/>
      <c r="K107" s="5"/>
      <c r="L107" s="5"/>
      <c r="M107" s="5"/>
      <c r="N107" s="6"/>
      <c r="O107" s="6"/>
      <c r="P107" s="6"/>
      <c r="Q107" s="6"/>
      <c r="R107" s="7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3:32">
      <c r="C108" s="3"/>
      <c r="D108" s="3"/>
      <c r="G108" s="3"/>
      <c r="H108" s="8"/>
      <c r="I108" s="3"/>
      <c r="J108" s="3"/>
      <c r="K108" s="5"/>
      <c r="L108" s="5"/>
      <c r="M108" s="5"/>
      <c r="N108" s="6"/>
      <c r="O108" s="6"/>
      <c r="P108" s="6"/>
      <c r="Q108" s="6"/>
      <c r="R108" s="7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3:32">
      <c r="C109" s="3"/>
      <c r="D109" s="3"/>
      <c r="G109" s="3"/>
      <c r="H109" s="8"/>
      <c r="I109" s="3"/>
      <c r="J109" s="3"/>
      <c r="K109" s="5"/>
      <c r="L109" s="5"/>
      <c r="M109" s="5"/>
      <c r="N109" s="6"/>
      <c r="O109" s="6"/>
      <c r="P109" s="6"/>
      <c r="Q109" s="6"/>
      <c r="R109" s="7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3:32">
      <c r="C110" s="3"/>
      <c r="D110" s="3"/>
      <c r="G110" s="3"/>
      <c r="H110" s="8"/>
      <c r="I110" s="3"/>
      <c r="J110" s="3"/>
      <c r="K110" s="5"/>
      <c r="L110" s="5"/>
      <c r="M110" s="5"/>
      <c r="N110" s="6"/>
      <c r="O110" s="6"/>
      <c r="P110" s="6"/>
      <c r="Q110" s="6"/>
      <c r="R110" s="7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3:32">
      <c r="C111" s="3"/>
      <c r="D111" s="3"/>
      <c r="G111" s="3"/>
      <c r="H111" s="8"/>
      <c r="I111" s="3"/>
      <c r="J111" s="3"/>
      <c r="K111" s="5"/>
      <c r="L111" s="5"/>
      <c r="M111" s="5"/>
      <c r="N111" s="6"/>
      <c r="O111" s="6"/>
      <c r="P111" s="6"/>
      <c r="Q111" s="6"/>
      <c r="R111" s="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3:32">
      <c r="C112" s="3"/>
      <c r="D112" s="3"/>
      <c r="G112" s="3"/>
      <c r="H112" s="8"/>
      <c r="I112" s="3"/>
      <c r="J112" s="3"/>
      <c r="K112" s="5"/>
      <c r="L112" s="5"/>
      <c r="M112" s="5"/>
      <c r="N112" s="6"/>
      <c r="O112" s="6"/>
      <c r="P112" s="6"/>
      <c r="Q112" s="6"/>
      <c r="R112" s="7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>
      <c r="C113" s="3"/>
      <c r="D113" s="3"/>
      <c r="G113" s="3"/>
      <c r="H113" s="8"/>
      <c r="I113" s="3"/>
      <c r="J113" s="3"/>
      <c r="K113" s="5"/>
      <c r="L113" s="5"/>
      <c r="M113" s="5"/>
      <c r="N113" s="6"/>
      <c r="O113" s="6"/>
      <c r="P113" s="6"/>
      <c r="Q113" s="6"/>
      <c r="R113" s="7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>
      <c r="C114" s="3"/>
      <c r="D114" s="3"/>
      <c r="G114" s="3"/>
      <c r="H114" s="8"/>
      <c r="I114" s="3"/>
      <c r="J114" s="3"/>
      <c r="K114" s="5"/>
      <c r="L114" s="5"/>
      <c r="M114" s="5"/>
      <c r="N114" s="6"/>
      <c r="O114" s="6"/>
      <c r="P114" s="6"/>
      <c r="Q114" s="6"/>
      <c r="R114" s="7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>
      <c r="A115" s="13"/>
      <c r="C115" s="3"/>
      <c r="D115" s="3"/>
      <c r="G115" s="3"/>
      <c r="H115" s="8"/>
      <c r="I115" s="3"/>
      <c r="J115" s="3"/>
      <c r="K115" s="5"/>
      <c r="L115" s="5"/>
      <c r="M115" s="5"/>
      <c r="N115" s="6"/>
      <c r="O115" s="6"/>
      <c r="P115" s="6"/>
      <c r="Q115" s="6"/>
      <c r="R115" s="7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>
      <c r="A116" s="13"/>
      <c r="C116" s="3"/>
      <c r="D116" s="3"/>
      <c r="G116" s="3"/>
      <c r="H116" s="8"/>
      <c r="I116" s="3"/>
      <c r="J116" s="3"/>
      <c r="K116" s="5"/>
      <c r="L116" s="5"/>
      <c r="M116" s="5"/>
      <c r="N116" s="6"/>
      <c r="O116" s="6"/>
      <c r="P116" s="6"/>
      <c r="Q116" s="6"/>
      <c r="R116" s="7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>
      <c r="A117" s="13"/>
      <c r="C117" s="3"/>
      <c r="D117" s="3"/>
      <c r="G117" s="3"/>
      <c r="H117" s="8"/>
      <c r="I117" s="3"/>
      <c r="J117" s="3"/>
      <c r="K117" s="5"/>
      <c r="L117" s="5"/>
      <c r="M117" s="5"/>
      <c r="N117" s="6"/>
      <c r="O117" s="6"/>
      <c r="P117" s="6"/>
      <c r="Q117" s="6"/>
      <c r="R117" s="7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>
      <c r="C118" s="3"/>
      <c r="D118" s="3"/>
      <c r="G118" s="3"/>
      <c r="H118" s="8"/>
      <c r="I118" s="3"/>
      <c r="J118" s="3"/>
      <c r="K118" s="5"/>
      <c r="L118" s="5"/>
      <c r="M118" s="5"/>
      <c r="N118" s="6"/>
      <c r="O118" s="6"/>
      <c r="P118" s="6"/>
      <c r="Q118" s="6"/>
      <c r="R118" s="7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>
      <c r="C119" s="3"/>
      <c r="D119" s="3"/>
      <c r="G119" s="3"/>
      <c r="H119" s="8"/>
      <c r="I119" s="3"/>
      <c r="J119" s="3"/>
      <c r="K119" s="5"/>
      <c r="L119" s="5"/>
      <c r="M119" s="5"/>
      <c r="N119" s="6"/>
      <c r="O119" s="6"/>
      <c r="P119" s="6"/>
      <c r="Q119" s="6"/>
      <c r="R119" s="7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>
      <c r="C120" s="3"/>
      <c r="D120" s="3"/>
      <c r="G120" s="3"/>
      <c r="H120" s="8"/>
      <c r="I120" s="3"/>
      <c r="J120" s="3"/>
      <c r="K120" s="5"/>
      <c r="L120" s="5"/>
      <c r="M120" s="5"/>
      <c r="N120" s="6"/>
      <c r="O120" s="6"/>
      <c r="P120" s="6"/>
      <c r="Q120" s="6"/>
      <c r="R120" s="7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>
      <c r="C121" s="3"/>
      <c r="D121" s="3"/>
      <c r="G121" s="3"/>
      <c r="H121" s="8"/>
      <c r="I121" s="3"/>
      <c r="J121" s="3"/>
      <c r="K121" s="5"/>
      <c r="L121" s="5"/>
      <c r="M121" s="5"/>
      <c r="N121" s="6"/>
      <c r="O121" s="6"/>
      <c r="P121" s="6"/>
      <c r="Q121" s="6"/>
      <c r="R121" s="7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>
      <c r="C122" s="3"/>
      <c r="D122" s="3"/>
      <c r="G122" s="3"/>
      <c r="H122" s="8"/>
      <c r="I122" s="3"/>
      <c r="J122" s="3"/>
      <c r="K122" s="5"/>
      <c r="L122" s="5"/>
      <c r="M122" s="5"/>
      <c r="N122" s="6"/>
      <c r="O122" s="6"/>
      <c r="P122" s="6"/>
      <c r="Q122" s="6"/>
      <c r="R122" s="7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>
      <c r="C123" s="3"/>
      <c r="D123" s="3"/>
      <c r="G123" s="3"/>
      <c r="H123" s="8"/>
      <c r="I123" s="3"/>
      <c r="J123" s="3"/>
      <c r="K123" s="5"/>
      <c r="L123" s="5"/>
      <c r="M123" s="5"/>
      <c r="N123" s="6"/>
      <c r="O123" s="6"/>
      <c r="P123" s="6"/>
      <c r="Q123" s="6"/>
      <c r="R123" s="7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>
      <c r="C124" s="3"/>
      <c r="D124" s="3"/>
      <c r="G124" s="3"/>
      <c r="H124" s="8"/>
      <c r="I124" s="3"/>
      <c r="J124" s="3"/>
      <c r="K124" s="5"/>
      <c r="L124" s="5"/>
      <c r="M124" s="5"/>
      <c r="N124" s="6"/>
      <c r="O124" s="6"/>
      <c r="P124" s="6"/>
      <c r="Q124" s="6"/>
      <c r="R124" s="7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>
      <c r="C125" s="3"/>
      <c r="D125" s="3"/>
      <c r="G125" s="3"/>
      <c r="H125" s="8"/>
      <c r="I125" s="3"/>
      <c r="J125" s="3"/>
      <c r="K125" s="5"/>
      <c r="L125" s="5"/>
      <c r="M125" s="5"/>
      <c r="N125" s="6"/>
      <c r="O125" s="6"/>
      <c r="P125" s="6"/>
      <c r="Q125" s="6"/>
      <c r="R125" s="7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>
      <c r="C126" s="3"/>
      <c r="D126" s="3"/>
      <c r="G126" s="3"/>
      <c r="H126" s="8"/>
      <c r="I126" s="3"/>
      <c r="J126" s="3"/>
      <c r="K126" s="5"/>
      <c r="L126" s="5"/>
      <c r="M126" s="5"/>
      <c r="N126" s="6"/>
      <c r="O126" s="6"/>
      <c r="P126" s="6"/>
      <c r="Q126" s="6"/>
      <c r="R126" s="7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>
      <c r="C127" s="3"/>
      <c r="D127" s="3"/>
      <c r="G127" s="3"/>
      <c r="H127" s="8"/>
      <c r="I127" s="3"/>
      <c r="J127" s="3"/>
      <c r="K127" s="5"/>
      <c r="L127" s="5"/>
      <c r="M127" s="5"/>
      <c r="N127" s="6"/>
      <c r="O127" s="6"/>
      <c r="P127" s="6"/>
      <c r="Q127" s="6"/>
      <c r="R127" s="7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>
      <c r="C128" s="3"/>
      <c r="D128" s="3"/>
      <c r="G128" s="3"/>
      <c r="H128" s="8"/>
      <c r="I128" s="3"/>
      <c r="J128" s="3"/>
      <c r="K128" s="5"/>
      <c r="L128" s="5"/>
      <c r="M128" s="5"/>
      <c r="N128" s="6"/>
      <c r="O128" s="6"/>
      <c r="P128" s="6"/>
      <c r="Q128" s="6"/>
      <c r="R128" s="7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3:32">
      <c r="C129" s="3"/>
      <c r="D129" s="3"/>
      <c r="G129" s="3"/>
      <c r="H129" s="8"/>
      <c r="I129" s="3"/>
      <c r="J129" s="3"/>
      <c r="K129" s="5"/>
      <c r="L129" s="5"/>
      <c r="M129" s="5"/>
      <c r="N129" s="6"/>
      <c r="O129" s="6"/>
      <c r="P129" s="6"/>
      <c r="Q129" s="6"/>
      <c r="R129" s="7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3:32">
      <c r="C130" s="3"/>
      <c r="D130" s="3"/>
      <c r="G130" s="3"/>
      <c r="H130" s="8"/>
      <c r="I130" s="3"/>
      <c r="J130" s="3"/>
      <c r="K130" s="5"/>
      <c r="L130" s="5"/>
      <c r="M130" s="5"/>
      <c r="N130" s="6"/>
      <c r="O130" s="6"/>
      <c r="P130" s="6"/>
      <c r="Q130" s="6"/>
      <c r="R130" s="7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3:32">
      <c r="C131" s="3"/>
      <c r="D131" s="3"/>
      <c r="G131" s="3"/>
      <c r="H131" s="8"/>
      <c r="I131" s="3"/>
      <c r="J131" s="3"/>
      <c r="K131" s="5"/>
      <c r="L131" s="5"/>
      <c r="M131" s="5"/>
      <c r="N131" s="6"/>
      <c r="O131" s="6"/>
      <c r="P131" s="6"/>
      <c r="Q131" s="6"/>
      <c r="R131" s="7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3:32">
      <c r="C132" s="3"/>
      <c r="D132" s="3"/>
      <c r="G132" s="3"/>
      <c r="H132" s="8"/>
      <c r="I132" s="3"/>
      <c r="J132" s="3"/>
      <c r="K132" s="5"/>
      <c r="L132" s="5"/>
      <c r="M132" s="5"/>
      <c r="N132" s="6"/>
      <c r="O132" s="6"/>
      <c r="P132" s="6"/>
      <c r="Q132" s="6"/>
      <c r="R132" s="7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3:32">
      <c r="C133" s="3"/>
      <c r="D133" s="3"/>
      <c r="G133" s="3"/>
      <c r="H133" s="8"/>
      <c r="I133" s="3"/>
      <c r="J133" s="3"/>
      <c r="K133" s="5"/>
      <c r="L133" s="5"/>
      <c r="M133" s="5"/>
      <c r="N133" s="6"/>
      <c r="O133" s="6"/>
      <c r="P133" s="6"/>
      <c r="Q133" s="6"/>
      <c r="R133" s="7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3:32">
      <c r="C134" s="3"/>
      <c r="D134" s="3"/>
      <c r="G134" s="3"/>
      <c r="H134" s="8"/>
      <c r="I134" s="3"/>
      <c r="J134" s="3"/>
      <c r="K134" s="5"/>
      <c r="L134" s="5"/>
      <c r="M134" s="5"/>
      <c r="N134" s="6"/>
      <c r="O134" s="6"/>
      <c r="P134" s="6"/>
      <c r="Q134" s="6"/>
      <c r="R134" s="7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3:32">
      <c r="C135" s="3"/>
      <c r="D135" s="3"/>
      <c r="G135" s="3"/>
      <c r="H135" s="8"/>
      <c r="I135" s="3"/>
      <c r="J135" s="3"/>
      <c r="K135" s="5"/>
      <c r="L135" s="5"/>
      <c r="M135" s="5"/>
      <c r="N135" s="6"/>
      <c r="O135" s="6"/>
      <c r="P135" s="6"/>
      <c r="Q135" s="6"/>
      <c r="R135" s="7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45" customFormat="1"/>
    <row r="146" customFormat="1"/>
    <row r="147" customFormat="1"/>
    <row r="148" customFormat="1"/>
    <row r="149" customFormat="1"/>
    <row r="150" customFormat="1" ht="14.25" customHeight="1"/>
    <row r="15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2026-09-17T18:54:49Z</dcterms:created>
  <dcterms:modified xsi:type="dcterms:W3CDTF">2026-09-18T17:40:49Z</dcterms:modified>
  <cp:category/>
  <cp:contentStatus/>
</cp:coreProperties>
</file>
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42" documentId="11_E60897F41BE170836B02CE998F75CCDC64E183C8" xr6:coauthVersionLast="47" xr6:coauthVersionMax="47" xr10:uidLastSave="{CC86204D-88DE-43B0-BBD3-739E9C4D4A6E}"/>
  <bookViews>
    <workbookView xWindow="240" yWindow="105" windowWidth="14805" windowHeight="8010" xr2:uid="{00000000-000D-0000-FFFF-FFFF00000000}"/>
  </bookViews>
  <sheets>
    <sheet name="Sesio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 a="1"/>
  <c r="D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<sst xmlns="http://schemas.openxmlformats.org/spreadsheetml/2006/main" count="181" uniqueCount="66">
  <si>
    <t>ForceDecks Test Results Export</t>
  </si>
  <si>
    <t>Export Date</t>
  </si>
  <si>
    <t>Test Date</t>
  </si>
  <si>
    <t>8/31/2026  1118:00 AM</t>
  </si>
  <si>
    <t>Export Profile</t>
  </si>
  <si>
    <t>Evaluaciones Borregos CMJ</t>
  </si>
  <si>
    <t>Export Test Type</t>
  </si>
  <si>
    <t>Countermovement Jump</t>
  </si>
  <si>
    <t>Export Trials</t>
  </si>
  <si>
    <t>Results from all trials within a test, one row/column per trial</t>
  </si>
  <si>
    <t>Number of Athletes</t>
  </si>
  <si>
    <t>Forms ID</t>
  </si>
  <si>
    <t>C000 ID</t>
  </si>
  <si>
    <t>Athlete</t>
  </si>
  <si>
    <t>Date of Birth</t>
  </si>
  <si>
    <t>Género</t>
  </si>
  <si>
    <t>Disciplina</t>
  </si>
  <si>
    <t>Test Type</t>
  </si>
  <si>
    <t>Body Weight [kg]</t>
  </si>
  <si>
    <t>Trial</t>
  </si>
  <si>
    <t>Jump Height (Imp-Mom) [cm]</t>
  </si>
  <si>
    <t>Concentric Impulse (Left) [N s]</t>
  </si>
  <si>
    <t>Concentric Impulse (Right) [N s]</t>
  </si>
  <si>
    <t>Concentric RFD (Left) [N/s]</t>
  </si>
  <si>
    <t>Concentric RFD (Right) [N/s]</t>
  </si>
  <si>
    <t>Eccentric Braking RFD (Left) [N/s]</t>
  </si>
  <si>
    <t>Eccentric Braking RFD (Right) [N/s]</t>
  </si>
  <si>
    <t>RSI-modified (Imp-Mom) [m/s]</t>
  </si>
  <si>
    <t>Takeoff Peak Force (Right) [N]</t>
  </si>
  <si>
    <t>Takeoff Peak Force (Left) [N]</t>
  </si>
  <si>
    <t>Concentric Time to Peak Force (Left) [ms]</t>
  </si>
  <si>
    <t>Concentric Time to Peak Force (Right) [ms]</t>
  </si>
  <si>
    <t>Force at Peak Power (Left) [N]</t>
  </si>
  <si>
    <t>Force at Peak Power (Right) [N]</t>
  </si>
  <si>
    <t>Peak Landing Force (Left) [N]</t>
  </si>
  <si>
    <t>Peak Landing Force (Right) [N]</t>
  </si>
  <si>
    <t>Landing RFD (Right) [N/s]</t>
  </si>
  <si>
    <t>Landing RFD (Left) [N/s]</t>
  </si>
  <si>
    <t>Concentric Peak Force (Left) [N]</t>
  </si>
  <si>
    <t>Concentric Peak Force (Right) [N]</t>
  </si>
  <si>
    <t>Eccentric Peak Force (Left) [N]</t>
  </si>
  <si>
    <t>Eccentric Peak Force (Right) [N]</t>
  </si>
  <si>
    <t>Andres Acevedo</t>
  </si>
  <si>
    <t>05/03/2008</t>
  </si>
  <si>
    <t>Hombre</t>
  </si>
  <si>
    <t>Tenis de mesa</t>
  </si>
  <si>
    <t>Trial 1</t>
  </si>
  <si>
    <t>Trial 2</t>
  </si>
  <si>
    <t>Trial 3</t>
  </si>
  <si>
    <t>Hazel Reyes</t>
  </si>
  <si>
    <t>12/06/2009</t>
  </si>
  <si>
    <t>Diego Moreno</t>
  </si>
  <si>
    <t>30/11/2007</t>
  </si>
  <si>
    <t>C135</t>
  </si>
  <si>
    <t>Benjamin Espinoza</t>
  </si>
  <si>
    <t>24/10/2007</t>
  </si>
  <si>
    <t xml:space="preserve">Hombre </t>
  </si>
  <si>
    <t>C136</t>
  </si>
  <si>
    <t>Gilberto Aceves</t>
  </si>
  <si>
    <t>17/07/2008</t>
  </si>
  <si>
    <t>C133</t>
  </si>
  <si>
    <t>Santiago Morales</t>
  </si>
  <si>
    <t>09/02/2007</t>
  </si>
  <si>
    <t>C134</t>
  </si>
  <si>
    <t>Roberto Perez</t>
  </si>
  <si>
    <t>15/11/2006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</si>
</sst>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\ hh:mm"/>
  </numFmts>
  <fonts count="2">
    <font>
      <sz val="11"/>
      <color theme="1"/>
      <name val="Calibri"/>
      <family val="2"/>
      <scheme val="minor"/>
    </font>
    <font>
      <b/>
      <i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165" fontId="0" fillId="0" borderId="0" xfId="0" applyNumberFormat="1"/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0"/>
  <sheetViews>
    <sheetView tabSelected="1" workbookViewId="0">
      <selection activeCell="D7" sqref="D7"/>
    </sheetView>
  </sheetViews>
  <sheetFormatPr defaultRowHeight="15"/>
  <cols>
    <col min="1" max="1" width="10.5703125" customWidth="1"/>
    <col min="2" max="2" width="9.140625" customWidth="1"/>
    <col min="3" max="3" width="18.140625" bestFit="1" customWidth="1"/>
    <col min="4" max="4" width="16.7109375" customWidth="1"/>
    <col min="6" max="6" width="13.7109375" bestFit="1" customWidth="1"/>
    <col min="8" max="8" width="16" bestFit="1" customWidth="1"/>
  </cols>
  <sheetData>
    <row r="1" spans="1:32">
      <c r="C1" s="7" t="s">
        <v>0</v>
      </c>
    </row>
    <row r="2" spans="1:32">
      <c r="C2" s="7" t="s">
        <v>1</v>
      </c>
      <c r="D2" s="6">
        <v>46280.434600030501</v>
      </c>
      <c r="E2" s="6"/>
      <c r="F2" s="6"/>
      <c r="G2" s="6"/>
    </row>
    <row r="3" spans="1:32">
      <c r="C3" s="7" t="s">
        <v>2</v>
      </c>
      <c r="D3" s="8" t="s">
        <v>3</v>
      </c>
      <c r="E3" s="6"/>
      <c r="F3" s="6"/>
      <c r="G3" s="6"/>
    </row>
    <row r="4" spans="1:32">
      <c r="C4" s="7" t="s">
        <v>4</v>
      </c>
      <c r="D4" s="1" t="s">
        <v>5</v>
      </c>
    </row>
    <row r="5" spans="1:32">
      <c r="C5" s="7" t="s">
        <v>6</v>
      </c>
      <c r="D5" s="1" t="s">
        <v>7</v>
      </c>
    </row>
    <row r="6" spans="1:32">
      <c r="C6" s="7" t="s">
        <v>8</v>
      </c>
      <c r="D6" s="1" t="s">
        <v>9</v>
      </c>
    </row>
    <row r="7" spans="1:32">
      <c r="C7" s="7" t="s">
        <v>10</v>
      </c>
      <c r="D7" s="9" cm="1">
        <f t="array" ref="D7">COUNTA(_xlfn._xlws.FILTER(_xlfn.UNIQUE(C10:C200),_xlfn.UNIQUE(C10:C200)&lt;&gt;0))</f>
        <v>7</v>
      </c>
    </row>
    <row r="9" spans="1:32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2</v>
      </c>
      <c r="I9" s="2" t="s">
        <v>18</v>
      </c>
      <c r="J9" s="2" t="s">
        <v>19</v>
      </c>
      <c r="K9" s="2" t="s">
        <v>20</v>
      </c>
      <c r="L9" s="2" t="s">
        <v>21</v>
      </c>
      <c r="M9" s="2" t="s">
        <v>22</v>
      </c>
      <c r="N9" s="2" t="s">
        <v>23</v>
      </c>
      <c r="O9" s="2" t="s">
        <v>24</v>
      </c>
      <c r="P9" s="2" t="s">
        <v>25</v>
      </c>
      <c r="Q9" s="2" t="s">
        <v>26</v>
      </c>
      <c r="R9" s="2" t="s">
        <v>27</v>
      </c>
      <c r="S9" s="2" t="s">
        <v>28</v>
      </c>
      <c r="T9" s="2" t="s">
        <v>29</v>
      </c>
      <c r="U9" s="2" t="s">
        <v>30</v>
      </c>
      <c r="V9" s="2" t="s">
        <v>31</v>
      </c>
      <c r="W9" s="2" t="s">
        <v>32</v>
      </c>
      <c r="X9" s="2" t="s">
        <v>33</v>
      </c>
      <c r="Y9" s="2" t="s">
        <v>34</v>
      </c>
      <c r="Z9" s="2" t="s">
        <v>35</v>
      </c>
      <c r="AA9" s="2" t="s">
        <v>36</v>
      </c>
      <c r="AB9" s="2" t="s">
        <v>37</v>
      </c>
      <c r="AC9" s="2" t="s">
        <v>38</v>
      </c>
      <c r="AD9" s="2" t="s">
        <v>39</v>
      </c>
      <c r="AE9" s="2" t="s">
        <v>40</v>
      </c>
      <c r="AF9" s="2" t="s">
        <v>41</v>
      </c>
    </row>
    <row r="10" spans="1:32">
      <c r="A10">
        <v>213</v>
      </c>
      <c r="C10" s="1" t="s">
        <v>42</v>
      </c>
      <c r="D10" s="1" t="s">
        <v>43</v>
      </c>
      <c r="E10" t="s">
        <v>44</v>
      </c>
      <c r="F10" t="s">
        <v>45</v>
      </c>
      <c r="G10" s="1" t="s">
        <v>7</v>
      </c>
      <c r="H10" s="6">
        <v>46265.484440474502</v>
      </c>
      <c r="I10" s="1">
        <v>81.63</v>
      </c>
      <c r="J10" s="1" t="s">
        <v>46</v>
      </c>
      <c r="K10" s="3">
        <v>32.799999999999997</v>
      </c>
      <c r="L10" s="3">
        <v>231.6</v>
      </c>
      <c r="M10" s="3">
        <v>216.4</v>
      </c>
      <c r="N10" s="4">
        <v>0</v>
      </c>
      <c r="O10" s="4">
        <v>500</v>
      </c>
      <c r="P10" s="4">
        <v>1818</v>
      </c>
      <c r="Q10" s="4">
        <v>1946</v>
      </c>
      <c r="R10" s="5">
        <v>0.31</v>
      </c>
      <c r="S10" s="4">
        <v>917</v>
      </c>
      <c r="T10" s="4">
        <v>930</v>
      </c>
      <c r="U10" s="4">
        <v>0</v>
      </c>
      <c r="V10" s="4">
        <v>4</v>
      </c>
      <c r="W10" s="4">
        <v>813</v>
      </c>
      <c r="X10" s="4">
        <v>732</v>
      </c>
      <c r="Y10" s="4">
        <v>5670</v>
      </c>
      <c r="Z10" s="4">
        <v>5914</v>
      </c>
      <c r="AA10" s="4">
        <v>422398</v>
      </c>
      <c r="AB10" s="4">
        <v>567022</v>
      </c>
      <c r="AC10" s="4">
        <v>930</v>
      </c>
      <c r="AD10" s="4">
        <v>916</v>
      </c>
      <c r="AE10" s="4">
        <v>930</v>
      </c>
      <c r="AF10" s="4">
        <v>917</v>
      </c>
    </row>
    <row r="11" spans="1:32">
      <c r="A11">
        <v>213</v>
      </c>
      <c r="C11" s="1" t="s">
        <v>42</v>
      </c>
      <c r="D11" s="1" t="s">
        <v>43</v>
      </c>
      <c r="E11" t="s">
        <v>44</v>
      </c>
      <c r="F11" t="s">
        <v>45</v>
      </c>
      <c r="G11" s="1" t="s">
        <v>7</v>
      </c>
      <c r="H11" s="6">
        <v>46265.484440474502</v>
      </c>
      <c r="I11" s="1">
        <v>81.63</v>
      </c>
      <c r="J11" s="1" t="s">
        <v>47</v>
      </c>
      <c r="K11" s="3">
        <v>34.200000000000003</v>
      </c>
      <c r="L11" s="3">
        <v>208.4</v>
      </c>
      <c r="M11" s="3">
        <v>217.6</v>
      </c>
      <c r="N11" s="4">
        <v>0</v>
      </c>
      <c r="O11" s="4">
        <v>0</v>
      </c>
      <c r="P11" s="4">
        <v>2237</v>
      </c>
      <c r="Q11" s="4">
        <v>3029</v>
      </c>
      <c r="R11" s="5">
        <v>0.42</v>
      </c>
      <c r="S11" s="4">
        <v>1053</v>
      </c>
      <c r="T11" s="4">
        <v>940</v>
      </c>
      <c r="U11" s="4">
        <v>0</v>
      </c>
      <c r="V11" s="4">
        <v>0</v>
      </c>
      <c r="W11" s="4">
        <v>831</v>
      </c>
      <c r="X11" s="4">
        <v>804</v>
      </c>
      <c r="Y11" s="4">
        <v>2897</v>
      </c>
      <c r="Z11" s="4">
        <v>3230</v>
      </c>
      <c r="AA11" s="4">
        <v>59807</v>
      </c>
      <c r="AB11" s="4">
        <v>53652</v>
      </c>
      <c r="AC11" s="4">
        <v>936</v>
      </c>
      <c r="AD11" s="4">
        <v>1048</v>
      </c>
      <c r="AE11" s="4">
        <v>940</v>
      </c>
      <c r="AF11" s="4">
        <v>1053</v>
      </c>
    </row>
    <row r="12" spans="1:32">
      <c r="A12">
        <v>213</v>
      </c>
      <c r="C12" s="1" t="s">
        <v>42</v>
      </c>
      <c r="D12" s="1" t="s">
        <v>43</v>
      </c>
      <c r="E12" t="s">
        <v>44</v>
      </c>
      <c r="F12" t="s">
        <v>45</v>
      </c>
      <c r="G12" s="1" t="s">
        <v>7</v>
      </c>
      <c r="H12" s="6">
        <v>46265.484440474502</v>
      </c>
      <c r="I12" s="1">
        <v>81.63</v>
      </c>
      <c r="J12" s="1" t="s">
        <v>48</v>
      </c>
      <c r="K12" s="3">
        <v>32.799999999999997</v>
      </c>
      <c r="L12" s="3">
        <v>221.1</v>
      </c>
      <c r="M12" s="3">
        <v>215.9</v>
      </c>
      <c r="N12" s="4">
        <v>0</v>
      </c>
      <c r="O12" s="4">
        <v>0</v>
      </c>
      <c r="P12" s="4">
        <v>2732</v>
      </c>
      <c r="Q12" s="4">
        <v>2250</v>
      </c>
      <c r="R12" s="5">
        <v>0.38</v>
      </c>
      <c r="S12" s="4">
        <v>946</v>
      </c>
      <c r="T12" s="4">
        <v>986</v>
      </c>
      <c r="U12" s="4">
        <v>0</v>
      </c>
      <c r="V12" s="4">
        <v>0</v>
      </c>
      <c r="W12" s="4">
        <v>840</v>
      </c>
      <c r="X12" s="4">
        <v>789</v>
      </c>
      <c r="Y12" s="4">
        <v>2391</v>
      </c>
      <c r="Z12" s="4">
        <v>2777</v>
      </c>
      <c r="AA12" s="4">
        <v>43384</v>
      </c>
      <c r="AB12" s="4">
        <v>36231</v>
      </c>
      <c r="AC12" s="4">
        <v>975</v>
      </c>
      <c r="AD12" s="4">
        <v>946</v>
      </c>
      <c r="AE12" s="4">
        <v>986</v>
      </c>
      <c r="AF12" s="4">
        <v>946</v>
      </c>
    </row>
    <row r="13" spans="1:32">
      <c r="C13" s="1" t="s">
        <v>49</v>
      </c>
      <c r="D13" s="1" t="s">
        <v>50</v>
      </c>
      <c r="E13" t="s">
        <v>44</v>
      </c>
      <c r="F13" t="s">
        <v>45</v>
      </c>
      <c r="G13" s="1" t="s">
        <v>7</v>
      </c>
      <c r="H13" s="6">
        <v>46265.478025196797</v>
      </c>
      <c r="I13" s="1">
        <v>63.15</v>
      </c>
      <c r="J13" s="1" t="s">
        <v>46</v>
      </c>
      <c r="K13" s="3">
        <v>36.6</v>
      </c>
      <c r="L13" s="3">
        <v>157.9</v>
      </c>
      <c r="M13" s="3">
        <v>159.30000000000001</v>
      </c>
      <c r="N13" s="4">
        <v>1000</v>
      </c>
      <c r="O13" s="4">
        <v>500</v>
      </c>
      <c r="P13" s="4">
        <v>3584</v>
      </c>
      <c r="Q13" s="4">
        <v>3813</v>
      </c>
      <c r="R13" s="5">
        <v>0.54</v>
      </c>
      <c r="S13" s="4">
        <v>918</v>
      </c>
      <c r="T13" s="4">
        <v>944</v>
      </c>
      <c r="U13" s="4">
        <v>2</v>
      </c>
      <c r="V13" s="4">
        <v>2</v>
      </c>
      <c r="W13" s="4">
        <v>648</v>
      </c>
      <c r="X13" s="4">
        <v>645</v>
      </c>
      <c r="Y13" s="4">
        <v>1065</v>
      </c>
      <c r="Z13" s="4">
        <v>1459</v>
      </c>
      <c r="AA13" s="4">
        <v>48634</v>
      </c>
      <c r="AB13" s="4">
        <v>24205</v>
      </c>
      <c r="AC13" s="4">
        <v>935</v>
      </c>
      <c r="AD13" s="4">
        <v>912</v>
      </c>
      <c r="AE13" s="4">
        <v>944</v>
      </c>
      <c r="AF13" s="4">
        <v>918</v>
      </c>
    </row>
    <row r="14" spans="1:32">
      <c r="C14" s="1" t="s">
        <v>49</v>
      </c>
      <c r="D14" s="1" t="s">
        <v>50</v>
      </c>
      <c r="E14" t="s">
        <v>44</v>
      </c>
      <c r="F14" t="s">
        <v>45</v>
      </c>
      <c r="G14" s="1" t="s">
        <v>7</v>
      </c>
      <c r="H14" s="6">
        <v>46265.478025196797</v>
      </c>
      <c r="I14" s="1">
        <v>63.15</v>
      </c>
      <c r="J14" s="1" t="s">
        <v>47</v>
      </c>
      <c r="K14" s="3">
        <v>37.200000000000003</v>
      </c>
      <c r="L14" s="3">
        <v>158.80000000000001</v>
      </c>
      <c r="M14" s="3">
        <v>156.6</v>
      </c>
      <c r="N14" s="4">
        <v>0</v>
      </c>
      <c r="O14" s="4">
        <v>0</v>
      </c>
      <c r="P14" s="4">
        <v>4356</v>
      </c>
      <c r="Q14" s="4">
        <v>4714</v>
      </c>
      <c r="R14" s="5">
        <v>0.57999999999999996</v>
      </c>
      <c r="S14" s="4">
        <v>1006</v>
      </c>
      <c r="T14" s="4">
        <v>967</v>
      </c>
      <c r="U14" s="4">
        <v>0</v>
      </c>
      <c r="V14" s="4">
        <v>0</v>
      </c>
      <c r="W14" s="4">
        <v>641</v>
      </c>
      <c r="X14" s="4">
        <v>619</v>
      </c>
      <c r="Y14" s="4">
        <v>1896</v>
      </c>
      <c r="Z14" s="4">
        <v>1982</v>
      </c>
      <c r="AA14" s="4">
        <v>99101</v>
      </c>
      <c r="AB14" s="4">
        <v>105334</v>
      </c>
      <c r="AC14" s="4">
        <v>960</v>
      </c>
      <c r="AD14" s="4">
        <v>993</v>
      </c>
      <c r="AE14" s="4">
        <v>967</v>
      </c>
      <c r="AF14" s="4">
        <v>1006</v>
      </c>
    </row>
    <row r="15" spans="1:32">
      <c r="C15" s="1" t="s">
        <v>49</v>
      </c>
      <c r="D15" s="1" t="s">
        <v>50</v>
      </c>
      <c r="E15" t="s">
        <v>44</v>
      </c>
      <c r="F15" t="s">
        <v>45</v>
      </c>
      <c r="G15" s="1" t="s">
        <v>7</v>
      </c>
      <c r="H15" s="6">
        <v>46265.478025196797</v>
      </c>
      <c r="I15" s="1">
        <v>63.15</v>
      </c>
      <c r="J15" s="1" t="s">
        <v>48</v>
      </c>
      <c r="K15" s="3">
        <v>35.5</v>
      </c>
      <c r="L15" s="3">
        <v>162.6</v>
      </c>
      <c r="M15" s="3">
        <v>155.19999999999999</v>
      </c>
      <c r="N15" s="4">
        <v>0</v>
      </c>
      <c r="O15" s="4">
        <v>0</v>
      </c>
      <c r="P15" s="4">
        <v>4222</v>
      </c>
      <c r="Q15" s="4">
        <v>4044</v>
      </c>
      <c r="R15" s="5">
        <v>0.54</v>
      </c>
      <c r="S15" s="4">
        <v>961</v>
      </c>
      <c r="T15" s="4">
        <v>951</v>
      </c>
      <c r="U15" s="4">
        <v>0</v>
      </c>
      <c r="V15" s="4">
        <v>0</v>
      </c>
      <c r="W15" s="4">
        <v>643</v>
      </c>
      <c r="X15" s="4">
        <v>613</v>
      </c>
      <c r="Y15" s="4">
        <v>2179</v>
      </c>
      <c r="Z15" s="4">
        <v>1422</v>
      </c>
      <c r="AA15" s="4">
        <v>33858</v>
      </c>
      <c r="AB15" s="4">
        <v>77822</v>
      </c>
      <c r="AC15" s="4">
        <v>946</v>
      </c>
      <c r="AD15" s="4">
        <v>947</v>
      </c>
      <c r="AE15" s="4">
        <v>951</v>
      </c>
      <c r="AF15" s="4">
        <v>961</v>
      </c>
    </row>
    <row r="16" spans="1:32">
      <c r="A16">
        <v>216</v>
      </c>
      <c r="C16" s="1" t="s">
        <v>51</v>
      </c>
      <c r="D16" s="1" t="s">
        <v>52</v>
      </c>
      <c r="E16" t="s">
        <v>44</v>
      </c>
      <c r="F16" t="s">
        <v>45</v>
      </c>
      <c r="G16" s="1" t="s">
        <v>7</v>
      </c>
      <c r="H16" s="6">
        <v>46265.475681562501</v>
      </c>
      <c r="I16" s="1">
        <v>70.569999999999993</v>
      </c>
      <c r="J16" s="1" t="s">
        <v>46</v>
      </c>
      <c r="K16" s="3">
        <v>34.5</v>
      </c>
      <c r="L16" s="3">
        <v>186.3</v>
      </c>
      <c r="M16" s="3">
        <v>199.3</v>
      </c>
      <c r="N16" s="4">
        <v>0</v>
      </c>
      <c r="O16" s="4">
        <v>0</v>
      </c>
      <c r="P16" s="4">
        <v>2588</v>
      </c>
      <c r="Q16" s="4">
        <v>2380</v>
      </c>
      <c r="R16" s="5">
        <v>0.45</v>
      </c>
      <c r="S16" s="4">
        <v>886</v>
      </c>
      <c r="T16" s="4">
        <v>800</v>
      </c>
      <c r="U16" s="4">
        <v>0</v>
      </c>
      <c r="V16" s="4">
        <v>0</v>
      </c>
      <c r="W16" s="4">
        <v>704</v>
      </c>
      <c r="X16" s="4">
        <v>740</v>
      </c>
      <c r="Y16" s="4">
        <v>2211</v>
      </c>
      <c r="Z16" s="4">
        <v>2972</v>
      </c>
      <c r="AA16" s="4">
        <v>51242</v>
      </c>
      <c r="AB16" s="4">
        <v>42519</v>
      </c>
      <c r="AC16" s="4">
        <v>797</v>
      </c>
      <c r="AD16" s="4">
        <v>866</v>
      </c>
      <c r="AE16" s="4">
        <v>800</v>
      </c>
      <c r="AF16" s="4">
        <v>886</v>
      </c>
    </row>
    <row r="17" spans="1:32">
      <c r="A17">
        <v>216</v>
      </c>
      <c r="C17" s="1" t="s">
        <v>51</v>
      </c>
      <c r="D17" s="1" t="s">
        <v>52</v>
      </c>
      <c r="E17" t="s">
        <v>44</v>
      </c>
      <c r="F17" t="s">
        <v>45</v>
      </c>
      <c r="G17" s="1" t="s">
        <v>7</v>
      </c>
      <c r="H17" s="6">
        <v>46265.475681562501</v>
      </c>
      <c r="I17" s="1">
        <v>70.569999999999993</v>
      </c>
      <c r="J17" s="1" t="s">
        <v>47</v>
      </c>
      <c r="K17" s="3">
        <v>36.4</v>
      </c>
      <c r="L17" s="3">
        <v>191.9</v>
      </c>
      <c r="M17" s="3">
        <v>204.9</v>
      </c>
      <c r="N17" s="4">
        <v>0</v>
      </c>
      <c r="O17" s="4">
        <v>1000</v>
      </c>
      <c r="P17" s="4">
        <v>3034</v>
      </c>
      <c r="Q17" s="4">
        <v>2730</v>
      </c>
      <c r="R17" s="5">
        <v>0.48</v>
      </c>
      <c r="S17" s="4">
        <v>865</v>
      </c>
      <c r="T17" s="4">
        <v>807</v>
      </c>
      <c r="U17" s="4">
        <v>2</v>
      </c>
      <c r="V17" s="4">
        <v>4</v>
      </c>
      <c r="W17" s="4">
        <v>696</v>
      </c>
      <c r="X17" s="4">
        <v>729</v>
      </c>
      <c r="Y17" s="4">
        <v>1961</v>
      </c>
      <c r="Z17" s="4">
        <v>2740</v>
      </c>
      <c r="AA17" s="4">
        <v>52693</v>
      </c>
      <c r="AB17" s="4">
        <v>36315</v>
      </c>
      <c r="AC17" s="4">
        <v>806</v>
      </c>
      <c r="AD17" s="4">
        <v>857</v>
      </c>
      <c r="AE17" s="4">
        <v>807</v>
      </c>
      <c r="AF17" s="4">
        <v>865</v>
      </c>
    </row>
    <row r="18" spans="1:32">
      <c r="A18">
        <v>216</v>
      </c>
      <c r="C18" s="1" t="s">
        <v>51</v>
      </c>
      <c r="D18" s="1" t="s">
        <v>52</v>
      </c>
      <c r="E18" t="s">
        <v>44</v>
      </c>
      <c r="F18" t="s">
        <v>45</v>
      </c>
      <c r="G18" s="1" t="s">
        <v>7</v>
      </c>
      <c r="H18" s="6">
        <v>46265.475681562501</v>
      </c>
      <c r="I18" s="1">
        <v>70.569999999999993</v>
      </c>
      <c r="J18" s="1" t="s">
        <v>48</v>
      </c>
      <c r="K18" s="3">
        <v>34.5</v>
      </c>
      <c r="L18" s="3">
        <v>179.4</v>
      </c>
      <c r="M18" s="3">
        <v>185.1</v>
      </c>
      <c r="N18" s="4">
        <v>1000</v>
      </c>
      <c r="O18" s="4">
        <v>-100</v>
      </c>
      <c r="P18" s="4">
        <v>2915</v>
      </c>
      <c r="Q18" s="4">
        <v>3263</v>
      </c>
      <c r="R18" s="5">
        <v>0.46</v>
      </c>
      <c r="S18" s="4">
        <v>937</v>
      </c>
      <c r="T18" s="4">
        <v>796</v>
      </c>
      <c r="U18" s="4">
        <v>14</v>
      </c>
      <c r="V18" s="4">
        <v>2</v>
      </c>
      <c r="W18" s="4">
        <v>761</v>
      </c>
      <c r="X18" s="4">
        <v>766</v>
      </c>
      <c r="Y18" s="4">
        <v>2141</v>
      </c>
      <c r="Z18" s="4">
        <v>1808</v>
      </c>
      <c r="AA18" s="4">
        <v>60268</v>
      </c>
      <c r="AB18" s="4">
        <v>27449</v>
      </c>
      <c r="AC18" s="4">
        <v>796</v>
      </c>
      <c r="AD18" s="4">
        <v>928</v>
      </c>
      <c r="AE18" s="4">
        <v>789</v>
      </c>
      <c r="AF18" s="4">
        <v>937</v>
      </c>
    </row>
    <row r="19" spans="1:32">
      <c r="A19">
        <v>212</v>
      </c>
      <c r="B19" t="s">
        <v>53</v>
      </c>
      <c r="C19" s="1" t="s">
        <v>54</v>
      </c>
      <c r="D19" s="1" t="s">
        <v>55</v>
      </c>
      <c r="E19" t="s">
        <v>56</v>
      </c>
      <c r="F19" t="s">
        <v>45</v>
      </c>
      <c r="G19" s="1" t="s">
        <v>7</v>
      </c>
      <c r="H19" s="6">
        <v>46265.471797106497</v>
      </c>
      <c r="I19" s="1">
        <v>83.46</v>
      </c>
      <c r="J19" s="1" t="s">
        <v>46</v>
      </c>
      <c r="K19" s="3">
        <v>24.5</v>
      </c>
      <c r="L19" s="3">
        <v>204</v>
      </c>
      <c r="M19" s="3">
        <v>202</v>
      </c>
      <c r="N19" s="4">
        <v>962</v>
      </c>
      <c r="O19" s="4">
        <v>577</v>
      </c>
      <c r="P19" s="4">
        <v>1794</v>
      </c>
      <c r="Q19" s="4">
        <v>1634</v>
      </c>
      <c r="R19" s="5">
        <v>0.28000000000000003</v>
      </c>
      <c r="S19" s="4">
        <v>898</v>
      </c>
      <c r="T19" s="4">
        <v>902</v>
      </c>
      <c r="U19" s="4">
        <v>34</v>
      </c>
      <c r="V19" s="4">
        <v>24</v>
      </c>
      <c r="W19" s="4">
        <v>765</v>
      </c>
      <c r="X19" s="4">
        <v>736</v>
      </c>
      <c r="Y19" s="4">
        <v>1043</v>
      </c>
      <c r="Z19" s="4">
        <v>1232</v>
      </c>
      <c r="AA19" s="4">
        <v>16209</v>
      </c>
      <c r="AB19" s="4">
        <v>8151</v>
      </c>
      <c r="AC19" s="4">
        <v>902</v>
      </c>
      <c r="AD19" s="4">
        <v>898</v>
      </c>
      <c r="AE19" s="4">
        <v>875</v>
      </c>
      <c r="AF19" s="4">
        <v>883</v>
      </c>
    </row>
    <row r="20" spans="1:32">
      <c r="A20">
        <v>212</v>
      </c>
      <c r="B20" t="s">
        <v>53</v>
      </c>
      <c r="C20" s="1" t="s">
        <v>54</v>
      </c>
      <c r="D20" s="1" t="s">
        <v>55</v>
      </c>
      <c r="E20" t="s">
        <v>56</v>
      </c>
      <c r="F20" t="s">
        <v>45</v>
      </c>
      <c r="G20" s="1" t="s">
        <v>7</v>
      </c>
      <c r="H20" s="6">
        <v>46265.471797106497</v>
      </c>
      <c r="I20" s="1">
        <v>83.46</v>
      </c>
      <c r="J20" s="1" t="s">
        <v>47</v>
      </c>
      <c r="K20" s="3">
        <v>25.3</v>
      </c>
      <c r="L20" s="3">
        <v>202.8</v>
      </c>
      <c r="M20" s="3">
        <v>190.5</v>
      </c>
      <c r="N20" s="4">
        <v>500</v>
      </c>
      <c r="O20" s="4">
        <v>750</v>
      </c>
      <c r="P20" s="4">
        <v>2130</v>
      </c>
      <c r="Q20" s="4">
        <v>2848</v>
      </c>
      <c r="R20" s="5">
        <v>0.33</v>
      </c>
      <c r="S20" s="4">
        <v>931</v>
      </c>
      <c r="T20" s="4">
        <v>978</v>
      </c>
      <c r="U20" s="4">
        <v>20</v>
      </c>
      <c r="V20" s="4">
        <v>30</v>
      </c>
      <c r="W20" s="4">
        <v>806</v>
      </c>
      <c r="X20" s="4">
        <v>735</v>
      </c>
      <c r="Y20" s="4">
        <v>1454</v>
      </c>
      <c r="Z20" s="4">
        <v>1504</v>
      </c>
      <c r="AA20" s="4">
        <v>16710</v>
      </c>
      <c r="AB20" s="4">
        <v>15150</v>
      </c>
      <c r="AC20" s="4">
        <v>978</v>
      </c>
      <c r="AD20" s="4">
        <v>931</v>
      </c>
      <c r="AE20" s="4">
        <v>968</v>
      </c>
      <c r="AF20" s="4">
        <v>914</v>
      </c>
    </row>
    <row r="21" spans="1:32">
      <c r="A21">
        <v>212</v>
      </c>
      <c r="B21" t="s">
        <v>53</v>
      </c>
      <c r="C21" s="1" t="s">
        <v>54</v>
      </c>
      <c r="D21" s="1" t="s">
        <v>55</v>
      </c>
      <c r="E21" t="s">
        <v>56</v>
      </c>
      <c r="F21" t="s">
        <v>45</v>
      </c>
      <c r="G21" s="1" t="s">
        <v>7</v>
      </c>
      <c r="H21" s="6">
        <v>46265.471797106497</v>
      </c>
      <c r="I21" s="1">
        <v>83.46</v>
      </c>
      <c r="J21" s="1" t="s">
        <v>48</v>
      </c>
      <c r="K21" s="3">
        <v>25.5</v>
      </c>
      <c r="L21" s="3">
        <v>197.6</v>
      </c>
      <c r="M21" s="3">
        <v>197</v>
      </c>
      <c r="N21" s="4">
        <v>438</v>
      </c>
      <c r="O21" s="4">
        <v>875</v>
      </c>
      <c r="P21" s="4">
        <v>2622</v>
      </c>
      <c r="Q21" s="4">
        <v>2251</v>
      </c>
      <c r="R21" s="5">
        <v>0.36</v>
      </c>
      <c r="S21" s="4">
        <v>936</v>
      </c>
      <c r="T21" s="4">
        <v>1007</v>
      </c>
      <c r="U21" s="4">
        <v>10</v>
      </c>
      <c r="V21" s="4">
        <v>16</v>
      </c>
      <c r="W21" s="4">
        <v>796</v>
      </c>
      <c r="X21" s="4">
        <v>788</v>
      </c>
      <c r="Y21" s="4">
        <v>1158</v>
      </c>
      <c r="Z21" s="4">
        <v>2090</v>
      </c>
      <c r="AA21" s="4">
        <v>21325</v>
      </c>
      <c r="AB21" s="4">
        <v>9193</v>
      </c>
      <c r="AC21" s="4">
        <v>1007</v>
      </c>
      <c r="AD21" s="4">
        <v>936</v>
      </c>
      <c r="AE21" s="4">
        <v>999</v>
      </c>
      <c r="AF21" s="4">
        <v>922</v>
      </c>
    </row>
    <row r="22" spans="1:32">
      <c r="A22">
        <v>211</v>
      </c>
      <c r="B22" t="s">
        <v>57</v>
      </c>
      <c r="C22" s="1" t="s">
        <v>58</v>
      </c>
      <c r="D22" s="1" t="s">
        <v>59</v>
      </c>
      <c r="E22" t="s">
        <v>56</v>
      </c>
      <c r="F22" t="s">
        <v>45</v>
      </c>
      <c r="G22" s="1" t="s">
        <v>7</v>
      </c>
      <c r="H22" s="6">
        <v>46265.471350034699</v>
      </c>
      <c r="I22" s="1">
        <v>57.7</v>
      </c>
      <c r="J22" s="1" t="s">
        <v>46</v>
      </c>
      <c r="K22" s="3">
        <v>34.9</v>
      </c>
      <c r="L22" s="3">
        <v>135.9</v>
      </c>
      <c r="M22" s="3">
        <v>150.30000000000001</v>
      </c>
      <c r="N22" s="4">
        <v>-500</v>
      </c>
      <c r="O22" s="4">
        <v>750</v>
      </c>
      <c r="P22" s="4">
        <v>2252</v>
      </c>
      <c r="Q22" s="4">
        <v>2641</v>
      </c>
      <c r="R22" s="5">
        <v>0.55000000000000004</v>
      </c>
      <c r="S22" s="4">
        <v>758</v>
      </c>
      <c r="T22" s="4">
        <v>651</v>
      </c>
      <c r="U22" s="4">
        <v>94</v>
      </c>
      <c r="V22" s="4">
        <v>10</v>
      </c>
      <c r="W22" s="4">
        <v>617</v>
      </c>
      <c r="X22" s="4">
        <v>662</v>
      </c>
      <c r="Y22" s="4">
        <v>2974</v>
      </c>
      <c r="Z22" s="4">
        <v>2271</v>
      </c>
      <c r="AA22" s="4">
        <v>103228</v>
      </c>
      <c r="AB22" s="4">
        <v>114385</v>
      </c>
      <c r="AC22" s="4">
        <v>651</v>
      </c>
      <c r="AD22" s="4">
        <v>758</v>
      </c>
      <c r="AE22" s="4">
        <v>644</v>
      </c>
      <c r="AF22" s="4">
        <v>754</v>
      </c>
    </row>
    <row r="23" spans="1:32">
      <c r="A23">
        <v>211</v>
      </c>
      <c r="B23" t="s">
        <v>57</v>
      </c>
      <c r="C23" s="1" t="s">
        <v>58</v>
      </c>
      <c r="D23" s="1" t="s">
        <v>59</v>
      </c>
      <c r="E23" t="s">
        <v>56</v>
      </c>
      <c r="F23" t="s">
        <v>45</v>
      </c>
      <c r="G23" s="1" t="s">
        <v>7</v>
      </c>
      <c r="H23" s="6">
        <v>46265.471350034699</v>
      </c>
      <c r="I23" s="1">
        <v>57.7</v>
      </c>
      <c r="J23" s="1" t="s">
        <v>47</v>
      </c>
      <c r="K23" s="3">
        <v>35.299999999999997</v>
      </c>
      <c r="L23" s="3">
        <v>142.1</v>
      </c>
      <c r="M23" s="3">
        <v>156.69999999999999</v>
      </c>
      <c r="N23" s="4">
        <v>247</v>
      </c>
      <c r="O23" s="4">
        <v>390</v>
      </c>
      <c r="P23" s="4">
        <v>1476</v>
      </c>
      <c r="Q23" s="4">
        <v>2017</v>
      </c>
      <c r="R23" s="5">
        <v>0.51</v>
      </c>
      <c r="S23" s="4">
        <v>728</v>
      </c>
      <c r="T23" s="4">
        <v>638</v>
      </c>
      <c r="U23" s="4">
        <v>184</v>
      </c>
      <c r="V23" s="4">
        <v>182</v>
      </c>
      <c r="W23" s="4">
        <v>616</v>
      </c>
      <c r="X23" s="4">
        <v>693</v>
      </c>
      <c r="Y23" s="4">
        <v>2599</v>
      </c>
      <c r="Z23" s="4">
        <v>2017</v>
      </c>
      <c r="AA23" s="4">
        <v>56028</v>
      </c>
      <c r="AB23" s="4">
        <v>64975</v>
      </c>
      <c r="AC23" s="4">
        <v>638</v>
      </c>
      <c r="AD23" s="4">
        <v>728</v>
      </c>
      <c r="AE23" s="4">
        <v>605</v>
      </c>
      <c r="AF23" s="4">
        <v>670</v>
      </c>
    </row>
    <row r="24" spans="1:32">
      <c r="A24">
        <v>211</v>
      </c>
      <c r="B24" t="s">
        <v>57</v>
      </c>
      <c r="C24" s="1" t="s">
        <v>58</v>
      </c>
      <c r="D24" s="1" t="s">
        <v>59</v>
      </c>
      <c r="E24" t="s">
        <v>56</v>
      </c>
      <c r="F24" t="s">
        <v>45</v>
      </c>
      <c r="G24" s="1" t="s">
        <v>7</v>
      </c>
      <c r="H24" s="6">
        <v>46265.471350034699</v>
      </c>
      <c r="I24" s="1">
        <v>57.7</v>
      </c>
      <c r="J24" s="1" t="s">
        <v>48</v>
      </c>
      <c r="K24" s="3">
        <v>34.6</v>
      </c>
      <c r="L24" s="3">
        <v>133.19999999999999</v>
      </c>
      <c r="M24" s="3">
        <v>154.4</v>
      </c>
      <c r="N24" s="4">
        <v>0</v>
      </c>
      <c r="O24" s="4">
        <v>0</v>
      </c>
      <c r="P24" s="4">
        <v>1441</v>
      </c>
      <c r="Q24" s="4">
        <v>2057</v>
      </c>
      <c r="R24" s="5">
        <v>0.47</v>
      </c>
      <c r="S24" s="4">
        <v>771</v>
      </c>
      <c r="T24" s="4">
        <v>632</v>
      </c>
      <c r="U24" s="4">
        <v>26</v>
      </c>
      <c r="V24" s="4">
        <v>0</v>
      </c>
      <c r="W24" s="4">
        <v>586</v>
      </c>
      <c r="X24" s="4">
        <v>668</v>
      </c>
      <c r="Y24" s="4">
        <v>2102</v>
      </c>
      <c r="Z24" s="4">
        <v>2300</v>
      </c>
      <c r="AA24" s="4">
        <v>35938</v>
      </c>
      <c r="AB24" s="4">
        <v>33903</v>
      </c>
      <c r="AC24" s="4">
        <v>632</v>
      </c>
      <c r="AD24" s="4">
        <v>770</v>
      </c>
      <c r="AE24" s="4">
        <v>627</v>
      </c>
      <c r="AF24" s="4">
        <v>771</v>
      </c>
    </row>
    <row r="25" spans="1:32">
      <c r="A25">
        <v>215</v>
      </c>
      <c r="B25" t="s">
        <v>60</v>
      </c>
      <c r="C25" s="1" t="s">
        <v>61</v>
      </c>
      <c r="D25" s="1" t="s">
        <v>62</v>
      </c>
      <c r="E25" t="s">
        <v>56</v>
      </c>
      <c r="F25" t="s">
        <v>45</v>
      </c>
      <c r="G25" s="1" t="s">
        <v>7</v>
      </c>
      <c r="H25" s="6">
        <v>46265.480654826402</v>
      </c>
      <c r="I25" s="1">
        <v>77.209999999999994</v>
      </c>
      <c r="J25" s="1" t="s">
        <v>46</v>
      </c>
      <c r="K25" s="3">
        <v>31</v>
      </c>
      <c r="L25" s="3">
        <v>177.1</v>
      </c>
      <c r="M25" s="3">
        <v>218.3</v>
      </c>
      <c r="N25" s="4">
        <v>333</v>
      </c>
      <c r="O25" s="4">
        <v>333</v>
      </c>
      <c r="P25" s="4">
        <v>2739</v>
      </c>
      <c r="Q25" s="4">
        <v>3607</v>
      </c>
      <c r="R25" s="5">
        <v>0.44</v>
      </c>
      <c r="S25" s="4">
        <v>1002</v>
      </c>
      <c r="T25" s="4">
        <v>853</v>
      </c>
      <c r="U25" s="4">
        <v>4</v>
      </c>
      <c r="V25" s="4">
        <v>6</v>
      </c>
      <c r="W25" s="4">
        <v>724</v>
      </c>
      <c r="X25" s="4">
        <v>862</v>
      </c>
      <c r="Y25" s="4">
        <v>1024</v>
      </c>
      <c r="Z25" s="4">
        <v>1813</v>
      </c>
      <c r="AA25" s="4">
        <v>41205</v>
      </c>
      <c r="AB25" s="4">
        <v>16000</v>
      </c>
      <c r="AC25" s="4">
        <v>853</v>
      </c>
      <c r="AD25" s="4">
        <v>1002</v>
      </c>
      <c r="AE25" s="4">
        <v>851</v>
      </c>
      <c r="AF25" s="4">
        <v>1000</v>
      </c>
    </row>
    <row r="26" spans="1:32">
      <c r="A26">
        <v>215</v>
      </c>
      <c r="B26" t="s">
        <v>60</v>
      </c>
      <c r="C26" s="1" t="s">
        <v>61</v>
      </c>
      <c r="D26" s="1" t="s">
        <v>62</v>
      </c>
      <c r="E26" t="s">
        <v>56</v>
      </c>
      <c r="F26" t="s">
        <v>45</v>
      </c>
      <c r="G26" s="1" t="s">
        <v>7</v>
      </c>
      <c r="H26" s="6">
        <v>46265.480654826402</v>
      </c>
      <c r="I26" s="1">
        <v>77.209999999999994</v>
      </c>
      <c r="J26" s="1" t="s">
        <v>47</v>
      </c>
      <c r="K26" s="3">
        <v>34.700000000000003</v>
      </c>
      <c r="L26" s="3">
        <v>204.6</v>
      </c>
      <c r="M26" s="3">
        <v>208</v>
      </c>
      <c r="N26" s="4">
        <v>0</v>
      </c>
      <c r="O26" s="4">
        <v>0</v>
      </c>
      <c r="P26" s="4">
        <v>3371</v>
      </c>
      <c r="Q26" s="4">
        <v>3321</v>
      </c>
      <c r="R26" s="5">
        <v>0.47</v>
      </c>
      <c r="S26" s="4">
        <v>967</v>
      </c>
      <c r="T26" s="4">
        <v>999</v>
      </c>
      <c r="U26" s="4">
        <v>0</v>
      </c>
      <c r="V26" s="4">
        <v>0</v>
      </c>
      <c r="W26" s="4">
        <v>737</v>
      </c>
      <c r="X26" s="4">
        <v>803</v>
      </c>
      <c r="Y26" s="4">
        <v>1382</v>
      </c>
      <c r="Z26" s="4">
        <v>1240</v>
      </c>
      <c r="AA26" s="4">
        <v>18236</v>
      </c>
      <c r="AB26" s="4">
        <v>20324</v>
      </c>
      <c r="AC26" s="4">
        <v>992</v>
      </c>
      <c r="AD26" s="4">
        <v>959</v>
      </c>
      <c r="AE26" s="4">
        <v>999</v>
      </c>
      <c r="AF26" s="4">
        <v>967</v>
      </c>
    </row>
    <row r="27" spans="1:32">
      <c r="A27">
        <v>215</v>
      </c>
      <c r="B27" t="s">
        <v>60</v>
      </c>
      <c r="C27" s="1" t="s">
        <v>61</v>
      </c>
      <c r="D27" s="1" t="s">
        <v>62</v>
      </c>
      <c r="E27" t="s">
        <v>56</v>
      </c>
      <c r="F27" t="s">
        <v>45</v>
      </c>
      <c r="G27" s="1" t="s">
        <v>7</v>
      </c>
      <c r="H27" s="6">
        <v>46265.480654826402</v>
      </c>
      <c r="I27" s="1">
        <v>77.209999999999994</v>
      </c>
      <c r="J27" s="1" t="s">
        <v>48</v>
      </c>
      <c r="K27" s="3">
        <v>32.5</v>
      </c>
      <c r="L27" s="3">
        <v>187.8</v>
      </c>
      <c r="M27" s="3">
        <v>224.8</v>
      </c>
      <c r="N27" s="4">
        <v>0</v>
      </c>
      <c r="O27" s="4">
        <v>0</v>
      </c>
      <c r="P27" s="4">
        <v>3078</v>
      </c>
      <c r="Q27" s="4">
        <v>3425</v>
      </c>
      <c r="R27" s="5">
        <v>0.43</v>
      </c>
      <c r="S27" s="4">
        <v>1050</v>
      </c>
      <c r="T27" s="4">
        <v>891</v>
      </c>
      <c r="U27" s="4">
        <v>0</v>
      </c>
      <c r="V27" s="4">
        <v>0</v>
      </c>
      <c r="W27" s="4">
        <v>706</v>
      </c>
      <c r="X27" s="4">
        <v>826</v>
      </c>
      <c r="Y27" s="4">
        <v>844</v>
      </c>
      <c r="Z27" s="4">
        <v>1545</v>
      </c>
      <c r="AA27" s="4">
        <v>27590</v>
      </c>
      <c r="AB27" s="4">
        <v>10550</v>
      </c>
      <c r="AC27" s="4">
        <v>878</v>
      </c>
      <c r="AD27" s="4">
        <v>1050</v>
      </c>
      <c r="AE27" s="4">
        <v>891</v>
      </c>
      <c r="AF27" s="4">
        <v>1050</v>
      </c>
    </row>
    <row r="28" spans="1:32">
      <c r="A28">
        <v>209</v>
      </c>
      <c r="B28" t="s">
        <v>63</v>
      </c>
      <c r="C28" s="1" t="s">
        <v>64</v>
      </c>
      <c r="D28" s="1" t="s">
        <v>65</v>
      </c>
      <c r="E28" t="s">
        <v>56</v>
      </c>
      <c r="F28" t="s">
        <v>45</v>
      </c>
      <c r="G28" s="1" t="s">
        <v>7</v>
      </c>
      <c r="H28" s="6">
        <v>46265.476082094901</v>
      </c>
      <c r="I28" s="1">
        <v>77.319999999999993</v>
      </c>
      <c r="J28" s="1" t="s">
        <v>46</v>
      </c>
      <c r="K28" s="3">
        <v>39.6</v>
      </c>
      <c r="L28" s="3">
        <v>236.5</v>
      </c>
      <c r="M28" s="3">
        <v>220</v>
      </c>
      <c r="N28" s="4">
        <v>0</v>
      </c>
      <c r="O28" s="4">
        <v>0</v>
      </c>
      <c r="P28" s="4">
        <v>3148</v>
      </c>
      <c r="Q28" s="4">
        <v>2444</v>
      </c>
      <c r="R28" s="5">
        <v>0.47</v>
      </c>
      <c r="S28" s="4">
        <v>900</v>
      </c>
      <c r="T28" s="4">
        <v>1120</v>
      </c>
      <c r="U28" s="4">
        <v>0</v>
      </c>
      <c r="V28" s="4">
        <v>2</v>
      </c>
      <c r="W28" s="4">
        <v>755</v>
      </c>
      <c r="X28" s="4">
        <v>732</v>
      </c>
      <c r="Y28" s="4">
        <v>5421</v>
      </c>
      <c r="Z28" s="4">
        <v>4657</v>
      </c>
      <c r="AA28" s="4">
        <v>332634</v>
      </c>
      <c r="AB28" s="4">
        <v>338836</v>
      </c>
      <c r="AC28" s="4">
        <v>1111</v>
      </c>
      <c r="AD28" s="4">
        <v>899</v>
      </c>
      <c r="AE28" s="4">
        <v>1120</v>
      </c>
      <c r="AF28" s="4">
        <v>900</v>
      </c>
    </row>
    <row r="29" spans="1:32">
      <c r="A29">
        <v>209</v>
      </c>
      <c r="B29" t="s">
        <v>63</v>
      </c>
      <c r="C29" s="1" t="s">
        <v>64</v>
      </c>
      <c r="D29" s="1" t="s">
        <v>65</v>
      </c>
      <c r="E29" t="s">
        <v>56</v>
      </c>
      <c r="F29" t="s">
        <v>45</v>
      </c>
      <c r="G29" s="1" t="s">
        <v>7</v>
      </c>
      <c r="H29" s="6">
        <v>46265.476082094901</v>
      </c>
      <c r="I29" s="1">
        <v>77.319999999999993</v>
      </c>
      <c r="J29" s="1" t="s">
        <v>47</v>
      </c>
      <c r="K29" s="3">
        <v>40.5</v>
      </c>
      <c r="L29" s="3">
        <v>234.6</v>
      </c>
      <c r="M29" s="3">
        <v>208.8</v>
      </c>
      <c r="N29" s="4">
        <v>0</v>
      </c>
      <c r="O29" s="4">
        <v>0</v>
      </c>
      <c r="P29" s="4">
        <v>4174</v>
      </c>
      <c r="Q29" s="4">
        <v>3120</v>
      </c>
      <c r="R29" s="5">
        <v>0.54</v>
      </c>
      <c r="S29" s="4">
        <v>918</v>
      </c>
      <c r="T29" s="4">
        <v>1228</v>
      </c>
      <c r="U29" s="4">
        <v>0</v>
      </c>
      <c r="V29" s="4">
        <v>2</v>
      </c>
      <c r="W29" s="4">
        <v>761</v>
      </c>
      <c r="X29" s="4">
        <v>713</v>
      </c>
      <c r="Y29" s="4">
        <v>3947</v>
      </c>
      <c r="Z29" s="4">
        <v>3753</v>
      </c>
      <c r="AA29" s="4">
        <v>234554</v>
      </c>
      <c r="AB29" s="4">
        <v>179426</v>
      </c>
      <c r="AC29" s="4">
        <v>1217</v>
      </c>
      <c r="AD29" s="4">
        <v>910</v>
      </c>
      <c r="AE29" s="4">
        <v>1228</v>
      </c>
      <c r="AF29" s="4">
        <v>918</v>
      </c>
    </row>
    <row r="30" spans="1:32">
      <c r="A30">
        <v>209</v>
      </c>
      <c r="B30" t="s">
        <v>63</v>
      </c>
      <c r="C30" s="1" t="s">
        <v>64</v>
      </c>
      <c r="D30" s="1" t="s">
        <v>65</v>
      </c>
      <c r="E30" t="s">
        <v>56</v>
      </c>
      <c r="F30" t="s">
        <v>45</v>
      </c>
      <c r="G30" s="1" t="s">
        <v>7</v>
      </c>
      <c r="H30" s="6">
        <v>46265.476082094901</v>
      </c>
      <c r="I30" s="1">
        <v>77.319999999999993</v>
      </c>
      <c r="J30" s="1" t="s">
        <v>48</v>
      </c>
      <c r="K30" s="3">
        <v>39</v>
      </c>
      <c r="L30" s="3">
        <v>231.2</v>
      </c>
      <c r="M30" s="3">
        <v>209.5</v>
      </c>
      <c r="N30" s="4">
        <v>-1000</v>
      </c>
      <c r="O30" s="4">
        <v>1500</v>
      </c>
      <c r="P30" s="4">
        <v>3855</v>
      </c>
      <c r="Q30" s="4">
        <v>2713</v>
      </c>
      <c r="R30" s="5">
        <v>0.51</v>
      </c>
      <c r="S30" s="4">
        <v>892</v>
      </c>
      <c r="T30" s="4">
        <v>1214</v>
      </c>
      <c r="U30" s="4">
        <v>0</v>
      </c>
      <c r="V30" s="4">
        <v>16</v>
      </c>
      <c r="W30" s="4">
        <v>737</v>
      </c>
      <c r="X30" s="4">
        <v>722</v>
      </c>
      <c r="Y30" s="4">
        <v>3147</v>
      </c>
      <c r="Z30" s="4">
        <v>3288</v>
      </c>
      <c r="AA30" s="4">
        <v>71475</v>
      </c>
      <c r="AB30" s="4">
        <v>65570</v>
      </c>
      <c r="AC30" s="4">
        <v>1207</v>
      </c>
      <c r="AD30" s="4">
        <v>892</v>
      </c>
      <c r="AE30" s="4">
        <v>1214</v>
      </c>
      <c r="AF30" s="4">
        <v>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SHIELD</cp:lastModifiedBy>
  <cp:revision/>
  <dcterms:created xsi:type="dcterms:W3CDTF">2026-09-18T16:11:05Z</dcterms:created>
  <dcterms:modified xsi:type="dcterms:W3CDTF">2026-09-18T17:40:48Z</dcterms:modified>
  <cp:category/>
  <cp:contentStatus/>
</cp:coreProperties>
</file>
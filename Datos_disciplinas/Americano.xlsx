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166" documentId="11_E60897F41BE170836B02CE998F75CCDC64E183C8" xr6:coauthVersionLast="47" xr6:coauthVersionMax="47" xr10:uidLastSave="{135980D9-B372-4F63-9A6D-7C2E2882A63E}"/>
  <bookViews>
    <workbookView xWindow="240" yWindow="105" windowWidth="14805" windowHeight="8010" xr2:uid="{00000000-000D-0000-FFFF-FFFF00000000}"/>
  </bookViews>
  <sheets>
    <sheet name="Sesio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7" i="1" l="1" a="1"/>
  <c r="D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<sst xmlns="http://schemas.openxmlformats.org/spreadsheetml/2006/main" count="738" uniqueCount="135">
  <si>
    <t>ForceDecks Test Results Export</t>
  </si>
  <si>
    <t>Export Date</t>
  </si>
  <si>
    <t>Test Date</t>
  </si>
  <si>
    <t>Export Profile</t>
  </si>
  <si>
    <t>Evaluaciones Borregos CMJ</t>
  </si>
  <si>
    <t>Export Test Type</t>
  </si>
  <si>
    <t>Countermovement Jump</t>
  </si>
  <si>
    <t>Export Trials</t>
  </si>
  <si>
    <t>Results from all trials within a test, one row/column per trial</t>
  </si>
  <si>
    <t>Number of Athletes</t>
  </si>
  <si>
    <t>Forms ID</t>
  </si>
  <si>
    <t>C000 ID</t>
  </si>
  <si>
    <t>Athlete</t>
  </si>
  <si>
    <t>Date of Birth</t>
  </si>
  <si>
    <t>Género</t>
  </si>
  <si>
    <t>Disciplina</t>
  </si>
  <si>
    <t>Test Type</t>
  </si>
  <si>
    <t>Body Weight [kg]</t>
  </si>
  <si>
    <t>Trial</t>
  </si>
  <si>
    <t>Jump Height (Imp-Mom) [cm]</t>
  </si>
  <si>
    <t>Concentric Impulse (Left) [N s]</t>
  </si>
  <si>
    <t>Concentric Impulse (Right) [N s]</t>
  </si>
  <si>
    <t>Concentric RFD (Left) [N/s]</t>
  </si>
  <si>
    <t>Concentric RFD (Right) [N/s]</t>
  </si>
  <si>
    <t>Eccentric Braking RFD (Left) [N/s]</t>
  </si>
  <si>
    <t>Eccentric Braking RFD (Right) [N/s]</t>
  </si>
  <si>
    <t>RSI-modified (Imp-Mom) [m/s]</t>
  </si>
  <si>
    <t>Takeoff Peak Force (Right) [N]</t>
  </si>
  <si>
    <t>Takeoff Peak Force (Left) [N]</t>
  </si>
  <si>
    <t>Concentric Time to Peak Force (Left) [ms]</t>
  </si>
  <si>
    <t>Concentric Time to Peak Force (Right) [ms]</t>
  </si>
  <si>
    <t>Force at Peak Power (Left) [N]</t>
  </si>
  <si>
    <t>Force at Peak Power (Right) [N]</t>
  </si>
  <si>
    <t>Peak Landing Force (Left) [N]</t>
  </si>
  <si>
    <t>Peak Landing Force (Right) [N]</t>
  </si>
  <si>
    <t>Landing RFD (Right) [N/s]</t>
  </si>
  <si>
    <t>Landing RFD (Left) [N/s]</t>
  </si>
  <si>
    <t>Concentric Peak Force (Left) [N]</t>
  </si>
  <si>
    <t>Concentric Peak Force (Right) [N]</t>
  </si>
  <si>
    <t>Eccentric Peak Force (Left) [N]</t>
  </si>
  <si>
    <t>Eccentric Peak Force (Right) [N]</t>
  </si>
  <si>
    <t xml:space="preserve">Sebastian Ramirez </t>
  </si>
  <si>
    <t>30/05/2008</t>
  </si>
  <si>
    <t>Hombre</t>
  </si>
  <si>
    <t>Americano</t>
  </si>
  <si>
    <t>Trial 1</t>
  </si>
  <si>
    <t>Trial 2</t>
  </si>
  <si>
    <t>Trial 3</t>
  </si>
  <si>
    <t>Miguel Lozano</t>
  </si>
  <si>
    <t>30/04/2004</t>
  </si>
  <si>
    <t>Roberto Medina</t>
  </si>
  <si>
    <t>22/04/2006</t>
  </si>
  <si>
    <t>Victor Palacios</t>
  </si>
  <si>
    <t>01/05/2005</t>
  </si>
  <si>
    <t>Patricio Trevino</t>
  </si>
  <si>
    <t>09/10/2007</t>
  </si>
  <si>
    <t xml:space="preserve">Sebastian  Saucedo </t>
  </si>
  <si>
    <t>16/02/2008</t>
  </si>
  <si>
    <t xml:space="preserve">Luis Torres (usar este perfil) </t>
  </si>
  <si>
    <t>27/09/2006</t>
  </si>
  <si>
    <t>Rodrigo Garza</t>
  </si>
  <si>
    <t>08/05/2008</t>
  </si>
  <si>
    <t>Mikel Delgado</t>
  </si>
  <si>
    <t>11/06/2002</t>
  </si>
  <si>
    <t>Santiago Salazar</t>
  </si>
  <si>
    <t>08/11/2005</t>
  </si>
  <si>
    <t>Lauro Guajardo</t>
  </si>
  <si>
    <t>19/02/2007</t>
  </si>
  <si>
    <t>Mauricio  Santos</t>
  </si>
  <si>
    <t>09/03/2001</t>
  </si>
  <si>
    <t>Luis Olivares</t>
  </si>
  <si>
    <t>20/05/2004</t>
  </si>
  <si>
    <t>Juan Cantu</t>
  </si>
  <si>
    <t>22/02/2007</t>
  </si>
  <si>
    <t>Miguel Salazar</t>
  </si>
  <si>
    <t>22/01/2001</t>
  </si>
  <si>
    <t xml:space="preserve">Rogelio Baker </t>
  </si>
  <si>
    <t>19/08/2008</t>
  </si>
  <si>
    <t>Mario Juarez</t>
  </si>
  <si>
    <t>22/07/2006</t>
  </si>
  <si>
    <t>Rocco Villarreal</t>
  </si>
  <si>
    <t>16/09/2004</t>
  </si>
  <si>
    <t>Mario Contreras</t>
  </si>
  <si>
    <t>24/03/2006</t>
  </si>
  <si>
    <t>Kharlo Antonio</t>
  </si>
  <si>
    <t>19/01/2006</t>
  </si>
  <si>
    <t>Juan Meza</t>
  </si>
  <si>
    <t>10/10/2006</t>
  </si>
  <si>
    <t>Ruben Rodriguez</t>
  </si>
  <si>
    <t>11/07/2005</t>
  </si>
  <si>
    <t>Renzo Bibiano</t>
  </si>
  <si>
    <t>16/12/2001</t>
  </si>
  <si>
    <t>Fernando Sarabia</t>
  </si>
  <si>
    <t>29/11/2003</t>
  </si>
  <si>
    <t>Ivan Covarrubias</t>
  </si>
  <si>
    <t>28/06/2001</t>
  </si>
  <si>
    <t>Daniel Santos</t>
  </si>
  <si>
    <t>01/01/1980</t>
  </si>
  <si>
    <t>Andres Garcia</t>
  </si>
  <si>
    <t>02/09/2005</t>
  </si>
  <si>
    <t>Fernando Tonda</t>
  </si>
  <si>
    <t>13/02/2007</t>
  </si>
  <si>
    <t>Homero Montano</t>
  </si>
  <si>
    <t>23/01/2006</t>
  </si>
  <si>
    <t>Diego Galván</t>
  </si>
  <si>
    <t>01/10/2007</t>
  </si>
  <si>
    <t>Jose Cantu</t>
  </si>
  <si>
    <t>04/10/2004</t>
  </si>
  <si>
    <t xml:space="preserve">Isaac  Sánchez </t>
  </si>
  <si>
    <t>17/05/2008</t>
  </si>
  <si>
    <t>Gonzalo  Aguirre</t>
  </si>
  <si>
    <t>18/06/2008</t>
  </si>
  <si>
    <t>Emiliano Guedea</t>
  </si>
  <si>
    <t>07/07/2007</t>
  </si>
  <si>
    <t>Diego Zuniga</t>
  </si>
  <si>
    <t>22/06/2007</t>
  </si>
  <si>
    <t>Arsemio Salmones</t>
  </si>
  <si>
    <t>11/02/2003</t>
  </si>
  <si>
    <t>Alvaro Canales</t>
  </si>
  <si>
    <t>Ernesto Guevara</t>
  </si>
  <si>
    <t>05/10/2005</t>
  </si>
  <si>
    <t>Emiliano Rodríguez</t>
  </si>
  <si>
    <t>21/09/2004</t>
  </si>
  <si>
    <t>Alejandro Elizondo</t>
  </si>
  <si>
    <t>04/09/2005</t>
  </si>
  <si>
    <t>Angel Hinojosa</t>
  </si>
  <si>
    <t>13/10/2007</t>
  </si>
  <si>
    <t>Diego Ponce</t>
  </si>
  <si>
    <t>20/12/2003</t>
  </si>
  <si>
    <t xml:space="preserve">Fernando  Mayen </t>
  </si>
  <si>
    <t>08/11/2003</t>
  </si>
  <si>
    <t>Carlos Martinez</t>
  </si>
  <si>
    <t>06/04/2004</t>
  </si>
  <si>
    <t>Braulio Villeda</t>
  </si>
  <si>
    <t>08/06/2006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</si>
</sst>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i/>
      <sz val="11"/>
      <color theme="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top"/>
    </xf>
    <xf numFmtId="22" fontId="0" fillId="0" borderId="0" xfId="0" applyNumberFormat="1" applyAlignment="1">
      <alignment horizontal="left" vertical="top"/>
    </xf>
    <xf numFmtId="0" fontId="0" fillId="0" borderId="0" xfId="0" applyAlignment="1">
      <alignment horizontal="left"/>
    </xf>
    <xf numFmtId="14" fontId="1" fillId="0" borderId="0" xfId="0" applyNumberFormat="1" applyFont="1" applyAlignment="1">
      <alignment horizontal="left" vertical="top"/>
    </xf>
    <xf numFmtId="14" fontId="0" fillId="0" borderId="0" xfId="0" applyNumberFormat="1"/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vertical="top"/>
    </xf>
    <xf numFmtId="22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5"/>
  <sheetViews>
    <sheetView tabSelected="1" workbookViewId="0">
      <selection activeCell="G6" sqref="G6"/>
    </sheetView>
  </sheetViews>
  <sheetFormatPr defaultRowHeight="15"/>
  <cols>
    <col min="3" max="3" width="26.7109375" customWidth="1"/>
    <col min="4" max="4" width="17.42578125" customWidth="1"/>
    <col min="6" max="6" width="12.28515625" customWidth="1"/>
    <col min="7" max="7" width="23.42578125" customWidth="1"/>
    <col min="8" max="8" width="18" style="5" customWidth="1"/>
    <col min="9" max="9" width="16.85546875" customWidth="1"/>
    <col min="11" max="11" width="29.28515625" customWidth="1"/>
    <col min="12" max="12" width="28.140625" customWidth="1"/>
    <col min="13" max="13" width="29" customWidth="1"/>
    <col min="14" max="14" width="26.28515625" customWidth="1"/>
    <col min="15" max="15" width="25.5703125" customWidth="1"/>
    <col min="16" max="16" width="29" customWidth="1"/>
    <col min="17" max="17" width="32.140625" customWidth="1"/>
    <col min="18" max="18" width="27.42578125" customWidth="1"/>
    <col min="19" max="19" width="28.42578125" customWidth="1"/>
    <col min="20" max="20" width="26.5703125" customWidth="1"/>
    <col min="21" max="21" width="36.7109375" customWidth="1"/>
    <col min="22" max="22" width="38" customWidth="1"/>
    <col min="23" max="23" width="27.140625" customWidth="1"/>
    <col min="24" max="24" width="28.42578125" customWidth="1"/>
    <col min="25" max="25" width="26" customWidth="1"/>
    <col min="26" max="26" width="28.28515625" customWidth="1"/>
    <col min="27" max="27" width="23.7109375" customWidth="1"/>
    <col min="28" max="28" width="22.7109375" customWidth="1"/>
    <col min="29" max="29" width="28.42578125" customWidth="1"/>
    <col min="30" max="30" width="29.7109375" customWidth="1"/>
    <col min="31" max="31" width="27" customWidth="1"/>
    <col min="32" max="32" width="29.7109375" customWidth="1"/>
  </cols>
  <sheetData>
    <row r="1" spans="1:32">
      <c r="C1" s="7" t="s">
        <v>0</v>
      </c>
      <c r="D1" s="7"/>
      <c r="E1" s="7"/>
      <c r="F1" s="7"/>
      <c r="G1" s="7"/>
      <c r="H1" s="7"/>
      <c r="I1" s="7"/>
      <c r="J1" s="7"/>
      <c r="K1" s="7"/>
    </row>
    <row r="2" spans="1:32">
      <c r="C2" s="1" t="s">
        <v>1</v>
      </c>
      <c r="D2" s="2">
        <v>46280.448838854601</v>
      </c>
      <c r="E2" s="8"/>
      <c r="F2" s="8"/>
      <c r="G2" s="8"/>
      <c r="H2" s="8"/>
      <c r="I2" s="8"/>
      <c r="J2" s="8"/>
      <c r="K2" s="8"/>
    </row>
    <row r="3" spans="1:32">
      <c r="C3" s="4" t="s">
        <v>2</v>
      </c>
      <c r="D3" s="2">
        <v>46251.618687997703</v>
      </c>
      <c r="E3" s="8"/>
      <c r="F3" s="8"/>
      <c r="G3" s="8"/>
      <c r="H3" s="8"/>
      <c r="I3" s="8"/>
      <c r="J3" s="8"/>
      <c r="K3" s="8"/>
    </row>
    <row r="4" spans="1:32">
      <c r="C4" s="1" t="s">
        <v>3</v>
      </c>
      <c r="D4" s="9" t="s">
        <v>4</v>
      </c>
      <c r="E4" s="9"/>
      <c r="F4" s="9"/>
      <c r="G4" s="9"/>
      <c r="H4" s="9"/>
      <c r="I4" s="9"/>
      <c r="J4" s="9"/>
      <c r="K4" s="9"/>
    </row>
    <row r="5" spans="1:32">
      <c r="C5" s="1" t="s">
        <v>5</v>
      </c>
      <c r="D5" s="9" t="s">
        <v>6</v>
      </c>
      <c r="E5" s="9"/>
      <c r="F5" s="9"/>
      <c r="G5" s="9"/>
      <c r="H5" s="9"/>
      <c r="I5" s="9"/>
      <c r="J5" s="9"/>
      <c r="K5" s="9"/>
    </row>
    <row r="6" spans="1:32">
      <c r="C6" s="1" t="s">
        <v>7</v>
      </c>
      <c r="D6" s="9" t="s">
        <v>8</v>
      </c>
      <c r="E6" s="9"/>
      <c r="F6" s="9"/>
      <c r="G6" s="9"/>
      <c r="H6" s="9"/>
      <c r="I6" s="9"/>
      <c r="J6" s="9"/>
      <c r="K6" s="9"/>
    </row>
    <row r="7" spans="1:32">
      <c r="C7" s="1" t="s">
        <v>9</v>
      </c>
      <c r="D7" s="10" cm="1">
        <f t="array" ref="D7">COUNTA(_xlfn._xlws.FILTER(_xlfn.UNIQUE(C10:C200),_xlfn.UNIQUE(C10:C200)&lt;&gt;0))</f>
        <v>45</v>
      </c>
      <c r="E7" s="9"/>
      <c r="F7" s="9"/>
      <c r="G7" s="9"/>
      <c r="H7" s="9"/>
      <c r="I7" s="9"/>
      <c r="J7" s="9"/>
      <c r="K7" s="9"/>
    </row>
    <row r="9" spans="1:32">
      <c r="A9" s="6" t="s">
        <v>10</v>
      </c>
      <c r="B9" s="6" t="s">
        <v>11</v>
      </c>
      <c r="C9" s="6" t="s">
        <v>12</v>
      </c>
      <c r="D9" s="6" t="s">
        <v>13</v>
      </c>
      <c r="E9" s="6" t="s">
        <v>14</v>
      </c>
      <c r="F9" s="6" t="s">
        <v>15</v>
      </c>
      <c r="G9" s="6" t="s">
        <v>16</v>
      </c>
      <c r="H9" s="6" t="s">
        <v>2</v>
      </c>
      <c r="I9" s="6" t="s">
        <v>17</v>
      </c>
      <c r="J9" s="6" t="s">
        <v>18</v>
      </c>
      <c r="K9" s="6" t="s">
        <v>19</v>
      </c>
      <c r="L9" s="6" t="s">
        <v>20</v>
      </c>
      <c r="M9" s="6" t="s">
        <v>21</v>
      </c>
      <c r="N9" s="6" t="s">
        <v>22</v>
      </c>
      <c r="O9" s="6" t="s">
        <v>23</v>
      </c>
      <c r="P9" s="6" t="s">
        <v>24</v>
      </c>
      <c r="Q9" s="6" t="s">
        <v>25</v>
      </c>
      <c r="R9" s="6" t="s">
        <v>26</v>
      </c>
      <c r="S9" s="6" t="s">
        <v>27</v>
      </c>
      <c r="T9" s="6" t="s">
        <v>28</v>
      </c>
      <c r="U9" s="6" t="s">
        <v>29</v>
      </c>
      <c r="V9" s="6" t="s">
        <v>30</v>
      </c>
      <c r="W9" s="6" t="s">
        <v>31</v>
      </c>
      <c r="X9" s="6" t="s">
        <v>32</v>
      </c>
      <c r="Y9" s="6" t="s">
        <v>33</v>
      </c>
      <c r="Z9" s="6" t="s">
        <v>34</v>
      </c>
      <c r="AA9" s="6" t="s">
        <v>35</v>
      </c>
      <c r="AB9" s="6" t="s">
        <v>36</v>
      </c>
      <c r="AC9" s="6" t="s">
        <v>37</v>
      </c>
      <c r="AD9" s="6" t="s">
        <v>38</v>
      </c>
      <c r="AE9" s="6" t="s">
        <v>39</v>
      </c>
      <c r="AF9" s="6" t="s">
        <v>40</v>
      </c>
    </row>
    <row r="10" spans="1:32" s="3" customFormat="1">
      <c r="C10" s="3" t="s">
        <v>41</v>
      </c>
      <c r="D10" s="3" t="s">
        <v>42</v>
      </c>
      <c r="E10" s="3" t="s">
        <v>43</v>
      </c>
      <c r="F10" s="3" t="s">
        <v>44</v>
      </c>
      <c r="G10" s="3" t="s">
        <v>6</v>
      </c>
      <c r="H10" s="2">
        <v>46251.663736574097</v>
      </c>
      <c r="I10" s="3">
        <v>141.04</v>
      </c>
      <c r="J10" s="3" t="s">
        <v>45</v>
      </c>
      <c r="K10" s="3">
        <v>33.5</v>
      </c>
      <c r="L10" s="3">
        <v>394.7</v>
      </c>
      <c r="M10" s="3">
        <v>414.1</v>
      </c>
      <c r="N10" s="3">
        <v>2600</v>
      </c>
      <c r="O10" s="3">
        <v>2067</v>
      </c>
      <c r="P10" s="3">
        <v>2748</v>
      </c>
      <c r="Q10" s="3">
        <v>2546</v>
      </c>
      <c r="R10" s="3">
        <v>0.32</v>
      </c>
      <c r="S10" s="3">
        <v>1574</v>
      </c>
      <c r="T10" s="3">
        <v>1473</v>
      </c>
      <c r="U10" s="3">
        <v>30</v>
      </c>
      <c r="V10" s="3">
        <v>28</v>
      </c>
      <c r="W10" s="3">
        <v>1306</v>
      </c>
      <c r="X10" s="3">
        <v>1370</v>
      </c>
      <c r="Y10" s="3">
        <v>3008</v>
      </c>
      <c r="Z10" s="3">
        <v>4418</v>
      </c>
      <c r="AA10" s="3">
        <v>88357</v>
      </c>
      <c r="AB10" s="3">
        <v>48512</v>
      </c>
      <c r="AC10" s="3">
        <v>1473</v>
      </c>
      <c r="AD10" s="3">
        <v>1574</v>
      </c>
      <c r="AE10" s="3">
        <v>1395</v>
      </c>
      <c r="AF10" s="3">
        <v>1512</v>
      </c>
    </row>
    <row r="11" spans="1:32" s="3" customFormat="1">
      <c r="C11" s="3" t="s">
        <v>41</v>
      </c>
      <c r="D11" s="3" t="s">
        <v>42</v>
      </c>
      <c r="E11" s="3" t="s">
        <v>43</v>
      </c>
      <c r="F11" s="3" t="s">
        <v>44</v>
      </c>
      <c r="G11" s="3" t="s">
        <v>6</v>
      </c>
      <c r="H11" s="2">
        <v>46251.663736574097</v>
      </c>
      <c r="I11" s="3">
        <v>141.04</v>
      </c>
      <c r="J11" s="3" t="s">
        <v>46</v>
      </c>
      <c r="K11" s="3">
        <v>33</v>
      </c>
      <c r="L11" s="3">
        <v>394.7</v>
      </c>
      <c r="M11" s="3">
        <v>394.3</v>
      </c>
      <c r="N11" s="3">
        <v>3071</v>
      </c>
      <c r="O11" s="3">
        <v>1929</v>
      </c>
      <c r="P11" s="3">
        <v>3120</v>
      </c>
      <c r="Q11" s="3">
        <v>3049</v>
      </c>
      <c r="R11" s="3">
        <v>0.33</v>
      </c>
      <c r="S11" s="3">
        <v>1602</v>
      </c>
      <c r="T11" s="3">
        <v>1599</v>
      </c>
      <c r="U11" s="3">
        <v>16</v>
      </c>
      <c r="V11" s="3">
        <v>14</v>
      </c>
      <c r="W11" s="3">
        <v>1352</v>
      </c>
      <c r="X11" s="3">
        <v>1388</v>
      </c>
      <c r="Y11" s="3">
        <v>4544</v>
      </c>
      <c r="Z11" s="3">
        <v>4045</v>
      </c>
      <c r="AA11" s="3">
        <v>72229</v>
      </c>
      <c r="AB11" s="3">
        <v>87380</v>
      </c>
      <c r="AC11" s="3">
        <v>1599</v>
      </c>
      <c r="AD11" s="3">
        <v>1602</v>
      </c>
      <c r="AE11" s="3">
        <v>1555</v>
      </c>
      <c r="AF11" s="3">
        <v>1575</v>
      </c>
    </row>
    <row r="12" spans="1:32" s="3" customFormat="1">
      <c r="C12" s="3" t="s">
        <v>41</v>
      </c>
      <c r="D12" s="3" t="s">
        <v>42</v>
      </c>
      <c r="E12" s="3" t="s">
        <v>43</v>
      </c>
      <c r="F12" s="3" t="s">
        <v>44</v>
      </c>
      <c r="G12" s="3" t="s">
        <v>6</v>
      </c>
      <c r="H12" s="2">
        <v>46251.663736574097</v>
      </c>
      <c r="I12" s="3">
        <v>141.04</v>
      </c>
      <c r="J12" s="3" t="s">
        <v>47</v>
      </c>
      <c r="K12" s="3">
        <v>31.8</v>
      </c>
      <c r="L12" s="3">
        <v>375.9</v>
      </c>
      <c r="M12" s="3">
        <v>371.6</v>
      </c>
      <c r="N12" s="3">
        <v>1611</v>
      </c>
      <c r="O12" s="3">
        <v>611</v>
      </c>
      <c r="P12" s="3">
        <v>2642</v>
      </c>
      <c r="Q12" s="3">
        <v>2792</v>
      </c>
      <c r="R12" s="3">
        <v>0.34</v>
      </c>
      <c r="S12" s="3">
        <v>1621</v>
      </c>
      <c r="T12" s="3">
        <v>1583</v>
      </c>
      <c r="U12" s="3">
        <v>28</v>
      </c>
      <c r="V12" s="3">
        <v>12</v>
      </c>
      <c r="W12" s="3">
        <v>1396</v>
      </c>
      <c r="X12" s="3">
        <v>1408</v>
      </c>
      <c r="Y12" s="3">
        <v>2285</v>
      </c>
      <c r="Z12" s="3">
        <v>2950</v>
      </c>
      <c r="AA12" s="3">
        <v>50859</v>
      </c>
      <c r="AB12" s="3">
        <v>34618</v>
      </c>
      <c r="AC12" s="3">
        <v>1583</v>
      </c>
      <c r="AD12" s="3">
        <v>1621</v>
      </c>
      <c r="AE12" s="3">
        <v>1552</v>
      </c>
      <c r="AF12" s="3">
        <v>1606</v>
      </c>
    </row>
    <row r="13" spans="1:32" s="3" customFormat="1">
      <c r="C13" s="3" t="s">
        <v>48</v>
      </c>
      <c r="D13" s="3" t="s">
        <v>49</v>
      </c>
      <c r="E13" s="3" t="s">
        <v>43</v>
      </c>
      <c r="F13" s="3" t="s">
        <v>44</v>
      </c>
      <c r="G13" s="3" t="s">
        <v>6</v>
      </c>
      <c r="H13" s="2">
        <v>46251.647360960596</v>
      </c>
      <c r="I13" s="3">
        <v>67.819999999999993</v>
      </c>
      <c r="J13" s="3" t="s">
        <v>45</v>
      </c>
      <c r="K13" s="3">
        <v>52.2</v>
      </c>
      <c r="L13" s="3">
        <v>190</v>
      </c>
      <c r="M13" s="3">
        <v>188.4</v>
      </c>
      <c r="N13" s="3">
        <v>0</v>
      </c>
      <c r="O13" s="3">
        <v>0</v>
      </c>
      <c r="P13" s="3">
        <v>3522</v>
      </c>
      <c r="Q13" s="3">
        <v>4412</v>
      </c>
      <c r="R13" s="3">
        <v>0.78</v>
      </c>
      <c r="S13" s="3">
        <v>1000</v>
      </c>
      <c r="T13" s="3">
        <v>981</v>
      </c>
      <c r="U13" s="3">
        <v>0</v>
      </c>
      <c r="V13" s="3">
        <v>8</v>
      </c>
      <c r="W13" s="3">
        <v>773</v>
      </c>
      <c r="X13" s="3">
        <v>762</v>
      </c>
      <c r="Y13" s="3">
        <v>4514</v>
      </c>
      <c r="Z13" s="3">
        <v>4608</v>
      </c>
      <c r="AA13" s="3">
        <v>288005</v>
      </c>
      <c r="AB13" s="3">
        <v>376147</v>
      </c>
      <c r="AC13" s="3">
        <v>977</v>
      </c>
      <c r="AD13" s="3">
        <v>1000</v>
      </c>
      <c r="AE13" s="3">
        <v>981</v>
      </c>
      <c r="AF13" s="3">
        <v>993</v>
      </c>
    </row>
    <row r="14" spans="1:32" s="3" customFormat="1">
      <c r="C14" s="3" t="s">
        <v>48</v>
      </c>
      <c r="D14" s="3" t="s">
        <v>49</v>
      </c>
      <c r="E14" s="3" t="s">
        <v>43</v>
      </c>
      <c r="F14" s="3" t="s">
        <v>44</v>
      </c>
      <c r="G14" s="3" t="s">
        <v>6</v>
      </c>
      <c r="H14" s="2">
        <v>46251.647360960596</v>
      </c>
      <c r="I14" s="3">
        <v>67.819999999999993</v>
      </c>
      <c r="J14" s="3" t="s">
        <v>46</v>
      </c>
      <c r="K14" s="3">
        <v>48.3</v>
      </c>
      <c r="L14" s="3">
        <v>195.9</v>
      </c>
      <c r="M14" s="3">
        <v>185.9</v>
      </c>
      <c r="N14" s="3">
        <v>0</v>
      </c>
      <c r="O14" s="3">
        <v>0</v>
      </c>
      <c r="P14" s="3">
        <v>3582</v>
      </c>
      <c r="Q14" s="3">
        <v>4919</v>
      </c>
      <c r="R14" s="3">
        <v>0.68</v>
      </c>
      <c r="S14" s="3">
        <v>1100</v>
      </c>
      <c r="T14" s="3">
        <v>1015</v>
      </c>
      <c r="U14" s="3">
        <v>0</v>
      </c>
      <c r="V14" s="3">
        <v>0</v>
      </c>
      <c r="W14" s="3">
        <v>768</v>
      </c>
      <c r="X14" s="3">
        <v>714</v>
      </c>
      <c r="Y14" s="3">
        <v>3396</v>
      </c>
      <c r="Z14" s="3">
        <v>2031</v>
      </c>
      <c r="AA14" s="3">
        <v>53449</v>
      </c>
      <c r="AB14" s="3">
        <v>141490</v>
      </c>
      <c r="AC14" s="3">
        <v>998</v>
      </c>
      <c r="AD14" s="3">
        <v>1093</v>
      </c>
      <c r="AE14" s="3">
        <v>1015</v>
      </c>
      <c r="AF14" s="3">
        <v>1100</v>
      </c>
    </row>
    <row r="15" spans="1:32" s="3" customFormat="1">
      <c r="C15" s="3" t="s">
        <v>50</v>
      </c>
      <c r="D15" s="3" t="s">
        <v>51</v>
      </c>
      <c r="E15" s="3" t="s">
        <v>43</v>
      </c>
      <c r="F15" s="3" t="s">
        <v>44</v>
      </c>
      <c r="G15" s="3" t="s">
        <v>6</v>
      </c>
      <c r="H15" s="2">
        <v>46251.645277581003</v>
      </c>
      <c r="I15" s="3">
        <v>78.41</v>
      </c>
      <c r="J15" s="3" t="s">
        <v>45</v>
      </c>
      <c r="K15" s="3">
        <v>33.700000000000003</v>
      </c>
      <c r="L15" s="3">
        <v>176.6</v>
      </c>
      <c r="M15" s="3">
        <v>164.3</v>
      </c>
      <c r="N15" s="3">
        <v>658</v>
      </c>
      <c r="O15" s="3">
        <v>3684</v>
      </c>
      <c r="P15" s="3">
        <v>5376</v>
      </c>
      <c r="Q15" s="3">
        <v>4417</v>
      </c>
      <c r="R15" s="3">
        <v>0.61</v>
      </c>
      <c r="S15" s="3">
        <v>1126</v>
      </c>
      <c r="T15" s="3">
        <v>1229</v>
      </c>
      <c r="U15" s="3">
        <v>16</v>
      </c>
      <c r="V15" s="3">
        <v>46</v>
      </c>
      <c r="W15" s="3">
        <v>1006</v>
      </c>
      <c r="X15" s="3">
        <v>973</v>
      </c>
      <c r="Y15" s="3">
        <v>3539</v>
      </c>
      <c r="Z15" s="3">
        <v>2950</v>
      </c>
      <c r="AA15" s="3">
        <v>67050</v>
      </c>
      <c r="AB15" s="3">
        <v>88476</v>
      </c>
      <c r="AC15" s="3">
        <v>1229</v>
      </c>
      <c r="AD15" s="3">
        <v>1126</v>
      </c>
      <c r="AE15" s="3">
        <v>1203</v>
      </c>
      <c r="AF15" s="3">
        <v>979</v>
      </c>
    </row>
    <row r="16" spans="1:32" s="3" customFormat="1">
      <c r="C16" s="3" t="s">
        <v>50</v>
      </c>
      <c r="D16" s="3" t="s">
        <v>51</v>
      </c>
      <c r="E16" s="3" t="s">
        <v>43</v>
      </c>
      <c r="F16" s="3" t="s">
        <v>44</v>
      </c>
      <c r="G16" s="3" t="s">
        <v>6</v>
      </c>
      <c r="H16" s="2">
        <v>46251.645277581003</v>
      </c>
      <c r="I16" s="3">
        <v>78.41</v>
      </c>
      <c r="J16" s="3" t="s">
        <v>46</v>
      </c>
      <c r="K16" s="3">
        <v>38.4</v>
      </c>
      <c r="L16" s="3">
        <v>183.5</v>
      </c>
      <c r="M16" s="3">
        <v>182.3</v>
      </c>
      <c r="N16" s="3">
        <v>438</v>
      </c>
      <c r="O16" s="3">
        <v>2938</v>
      </c>
      <c r="P16" s="3">
        <v>4285</v>
      </c>
      <c r="Q16" s="3">
        <v>4448</v>
      </c>
      <c r="R16" s="3">
        <v>0.61</v>
      </c>
      <c r="S16" s="3">
        <v>1153</v>
      </c>
      <c r="T16" s="3">
        <v>1163</v>
      </c>
      <c r="U16" s="3">
        <v>10</v>
      </c>
      <c r="V16" s="3">
        <v>26</v>
      </c>
      <c r="W16" s="3">
        <v>943</v>
      </c>
      <c r="X16" s="3">
        <v>953</v>
      </c>
      <c r="Y16" s="3">
        <v>2737</v>
      </c>
      <c r="Z16" s="3">
        <v>2454</v>
      </c>
      <c r="AA16" s="3">
        <v>47196</v>
      </c>
      <c r="AB16" s="3">
        <v>62205</v>
      </c>
      <c r="AC16" s="3">
        <v>1163</v>
      </c>
      <c r="AD16" s="3">
        <v>1153</v>
      </c>
      <c r="AE16" s="3">
        <v>1154</v>
      </c>
      <c r="AF16" s="3">
        <v>1101</v>
      </c>
    </row>
    <row r="17" spans="3:32" s="3" customFormat="1">
      <c r="C17" s="3" t="s">
        <v>50</v>
      </c>
      <c r="D17" s="3" t="s">
        <v>51</v>
      </c>
      <c r="E17" s="3" t="s">
        <v>43</v>
      </c>
      <c r="F17" s="3" t="s">
        <v>44</v>
      </c>
      <c r="G17" s="3" t="s">
        <v>6</v>
      </c>
      <c r="H17" s="2">
        <v>46251.645277581003</v>
      </c>
      <c r="I17" s="3">
        <v>78.41</v>
      </c>
      <c r="J17" s="3" t="s">
        <v>47</v>
      </c>
      <c r="K17" s="3">
        <v>36.200000000000003</v>
      </c>
      <c r="L17" s="3">
        <v>173.6</v>
      </c>
      <c r="M17" s="3">
        <v>177</v>
      </c>
      <c r="N17" s="3">
        <v>1643</v>
      </c>
      <c r="O17" s="3">
        <v>2857</v>
      </c>
      <c r="P17" s="3">
        <v>4143</v>
      </c>
      <c r="Q17" s="3">
        <v>4665</v>
      </c>
      <c r="R17" s="3">
        <v>0.62</v>
      </c>
      <c r="S17" s="3">
        <v>1192</v>
      </c>
      <c r="T17" s="3">
        <v>1171</v>
      </c>
      <c r="U17" s="3">
        <v>14</v>
      </c>
      <c r="V17" s="3">
        <v>14</v>
      </c>
      <c r="W17" s="3">
        <v>989</v>
      </c>
      <c r="X17" s="3">
        <v>993</v>
      </c>
      <c r="Y17" s="3">
        <v>2654</v>
      </c>
      <c r="Z17" s="3">
        <v>2360</v>
      </c>
      <c r="AA17" s="3">
        <v>45388</v>
      </c>
      <c r="AB17" s="3">
        <v>55292</v>
      </c>
      <c r="AC17" s="3">
        <v>1171</v>
      </c>
      <c r="AD17" s="3">
        <v>1192</v>
      </c>
      <c r="AE17" s="3">
        <v>1148</v>
      </c>
      <c r="AF17" s="3">
        <v>1152</v>
      </c>
    </row>
    <row r="18" spans="3:32" s="3" customFormat="1">
      <c r="C18" s="3" t="s">
        <v>52</v>
      </c>
      <c r="D18" s="3" t="s">
        <v>53</v>
      </c>
      <c r="E18" s="3" t="s">
        <v>43</v>
      </c>
      <c r="F18" s="3" t="s">
        <v>44</v>
      </c>
      <c r="G18" s="3" t="s">
        <v>6</v>
      </c>
      <c r="H18" s="2">
        <v>46251.644761655101</v>
      </c>
      <c r="I18" s="3">
        <v>76.05</v>
      </c>
      <c r="J18" s="3" t="s">
        <v>45</v>
      </c>
      <c r="K18" s="3">
        <v>55.4</v>
      </c>
      <c r="L18" s="3">
        <v>234.3</v>
      </c>
      <c r="M18" s="3">
        <v>232.3</v>
      </c>
      <c r="N18" s="3">
        <v>0</v>
      </c>
      <c r="O18" s="3">
        <v>0</v>
      </c>
      <c r="P18" s="3">
        <v>2923</v>
      </c>
      <c r="Q18" s="3">
        <v>2724</v>
      </c>
      <c r="R18" s="3">
        <v>0.72</v>
      </c>
      <c r="S18" s="3">
        <v>1004</v>
      </c>
      <c r="T18" s="3">
        <v>1028</v>
      </c>
      <c r="U18" s="3">
        <v>0</v>
      </c>
      <c r="V18" s="3">
        <v>0</v>
      </c>
      <c r="W18" s="3">
        <v>922</v>
      </c>
      <c r="X18" s="3">
        <v>910</v>
      </c>
      <c r="Y18" s="3">
        <v>6372</v>
      </c>
      <c r="Z18" s="3">
        <v>8204</v>
      </c>
      <c r="AA18" s="3">
        <v>1025509</v>
      </c>
      <c r="AB18" s="3">
        <v>796471</v>
      </c>
      <c r="AC18" s="3">
        <v>1004</v>
      </c>
      <c r="AD18" s="3">
        <v>1001</v>
      </c>
      <c r="AE18" s="3">
        <v>1028</v>
      </c>
      <c r="AF18" s="3">
        <v>1004</v>
      </c>
    </row>
    <row r="19" spans="3:32" s="3" customFormat="1">
      <c r="C19" s="3" t="s">
        <v>52</v>
      </c>
      <c r="D19" s="3" t="s">
        <v>53</v>
      </c>
      <c r="E19" s="3" t="s">
        <v>43</v>
      </c>
      <c r="F19" s="3" t="s">
        <v>44</v>
      </c>
      <c r="G19" s="3" t="s">
        <v>6</v>
      </c>
      <c r="H19" s="2">
        <v>46251.644761655101</v>
      </c>
      <c r="I19" s="3">
        <v>76.05</v>
      </c>
      <c r="J19" s="3" t="s">
        <v>46</v>
      </c>
      <c r="K19" s="3">
        <v>53.3</v>
      </c>
      <c r="L19" s="3">
        <v>239.5</v>
      </c>
      <c r="M19" s="3">
        <v>212.4</v>
      </c>
      <c r="N19" s="3">
        <v>0</v>
      </c>
      <c r="O19" s="3">
        <v>0</v>
      </c>
      <c r="P19" s="3">
        <v>3009</v>
      </c>
      <c r="Q19" s="3">
        <v>2736</v>
      </c>
      <c r="R19" s="3">
        <v>0.72</v>
      </c>
      <c r="S19" s="3">
        <v>940</v>
      </c>
      <c r="T19" s="3">
        <v>1068</v>
      </c>
      <c r="U19" s="3">
        <v>0</v>
      </c>
      <c r="V19" s="3">
        <v>194</v>
      </c>
      <c r="W19" s="3">
        <v>945</v>
      </c>
      <c r="X19" s="3">
        <v>878</v>
      </c>
      <c r="Y19" s="3">
        <v>5201</v>
      </c>
      <c r="Z19" s="3">
        <v>4773</v>
      </c>
      <c r="AA19" s="3">
        <v>265171</v>
      </c>
      <c r="AB19" s="3">
        <v>433397</v>
      </c>
      <c r="AC19" s="3">
        <v>1043</v>
      </c>
      <c r="AD19" s="3">
        <v>940</v>
      </c>
      <c r="AE19" s="3">
        <v>1068</v>
      </c>
      <c r="AF19" s="3">
        <v>940</v>
      </c>
    </row>
    <row r="20" spans="3:32" s="3" customFormat="1">
      <c r="C20" s="3" t="s">
        <v>52</v>
      </c>
      <c r="D20" s="3" t="s">
        <v>53</v>
      </c>
      <c r="E20" s="3" t="s">
        <v>43</v>
      </c>
      <c r="F20" s="3" t="s">
        <v>44</v>
      </c>
      <c r="G20" s="3" t="s">
        <v>6</v>
      </c>
      <c r="H20" s="2">
        <v>46251.644761655101</v>
      </c>
      <c r="I20" s="3">
        <v>76.05</v>
      </c>
      <c r="J20" s="3" t="s">
        <v>47</v>
      </c>
      <c r="K20" s="3">
        <v>52.8</v>
      </c>
      <c r="L20" s="3">
        <v>225.5</v>
      </c>
      <c r="M20" s="3">
        <v>222.3</v>
      </c>
      <c r="N20" s="3">
        <v>0</v>
      </c>
      <c r="O20" s="3">
        <v>0</v>
      </c>
      <c r="P20" s="3">
        <v>3283</v>
      </c>
      <c r="Q20" s="3">
        <v>3080</v>
      </c>
      <c r="R20" s="3">
        <v>0.71</v>
      </c>
      <c r="S20" s="3">
        <v>1043</v>
      </c>
      <c r="T20" s="3">
        <v>1122</v>
      </c>
      <c r="U20" s="3">
        <v>0</v>
      </c>
      <c r="V20" s="3">
        <v>0</v>
      </c>
      <c r="W20" s="3">
        <v>907</v>
      </c>
      <c r="X20" s="3">
        <v>900</v>
      </c>
      <c r="Y20" s="3">
        <v>2783</v>
      </c>
      <c r="Z20" s="3">
        <v>7086</v>
      </c>
      <c r="AA20" s="3">
        <v>885759</v>
      </c>
      <c r="AB20" s="3">
        <v>115949</v>
      </c>
      <c r="AC20" s="3">
        <v>1096</v>
      </c>
      <c r="AD20" s="3">
        <v>1035</v>
      </c>
      <c r="AE20" s="3">
        <v>1122</v>
      </c>
      <c r="AF20" s="3">
        <v>1043</v>
      </c>
    </row>
    <row r="21" spans="3:32" s="3" customFormat="1">
      <c r="C21" s="3" t="s">
        <v>54</v>
      </c>
      <c r="D21" s="3" t="s">
        <v>55</v>
      </c>
      <c r="E21" s="3" t="s">
        <v>43</v>
      </c>
      <c r="F21" s="3" t="s">
        <v>44</v>
      </c>
      <c r="G21" s="3" t="s">
        <v>6</v>
      </c>
      <c r="H21" s="2">
        <v>46251.643532025497</v>
      </c>
      <c r="I21" s="3">
        <v>124.78</v>
      </c>
      <c r="J21" s="3" t="s">
        <v>45</v>
      </c>
      <c r="K21" s="3">
        <v>32.200000000000003</v>
      </c>
      <c r="L21" s="3">
        <v>322.60000000000002</v>
      </c>
      <c r="M21" s="3">
        <v>318</v>
      </c>
      <c r="N21" s="3">
        <v>714</v>
      </c>
      <c r="O21" s="3">
        <v>1566</v>
      </c>
      <c r="P21" s="3">
        <v>5026</v>
      </c>
      <c r="Q21" s="3">
        <v>3801</v>
      </c>
      <c r="R21" s="3">
        <v>0.45</v>
      </c>
      <c r="S21" s="3">
        <v>1522</v>
      </c>
      <c r="T21" s="3">
        <v>1481</v>
      </c>
      <c r="U21" s="3">
        <v>180</v>
      </c>
      <c r="V21" s="3">
        <v>186</v>
      </c>
      <c r="W21" s="3">
        <v>1383</v>
      </c>
      <c r="X21" s="3">
        <v>1430</v>
      </c>
      <c r="Y21" s="3">
        <v>4864</v>
      </c>
      <c r="Z21" s="3">
        <v>5511</v>
      </c>
      <c r="AA21" s="3">
        <v>211964</v>
      </c>
      <c r="AB21" s="3">
        <v>187068</v>
      </c>
      <c r="AC21" s="3">
        <v>1481</v>
      </c>
      <c r="AD21" s="3">
        <v>1522</v>
      </c>
      <c r="AE21" s="3">
        <v>1354</v>
      </c>
      <c r="AF21" s="3">
        <v>1246</v>
      </c>
    </row>
    <row r="22" spans="3:32" s="3" customFormat="1">
      <c r="C22" s="3" t="s">
        <v>54</v>
      </c>
      <c r="D22" s="3" t="s">
        <v>55</v>
      </c>
      <c r="E22" s="3" t="s">
        <v>43</v>
      </c>
      <c r="F22" s="3" t="s">
        <v>44</v>
      </c>
      <c r="G22" s="3" t="s">
        <v>6</v>
      </c>
      <c r="H22" s="2">
        <v>46251.643532025497</v>
      </c>
      <c r="I22" s="3">
        <v>124.78</v>
      </c>
      <c r="J22" s="3" t="s">
        <v>46</v>
      </c>
      <c r="K22" s="3">
        <v>30.6</v>
      </c>
      <c r="L22" s="3">
        <v>330.6</v>
      </c>
      <c r="M22" s="3">
        <v>347.2</v>
      </c>
      <c r="N22" s="3">
        <v>153</v>
      </c>
      <c r="O22" s="3">
        <v>657</v>
      </c>
      <c r="P22" s="3">
        <v>5036</v>
      </c>
      <c r="Q22" s="3">
        <v>4250</v>
      </c>
      <c r="R22" s="3">
        <v>0.4</v>
      </c>
      <c r="S22" s="3">
        <v>1532</v>
      </c>
      <c r="T22" s="3">
        <v>1423</v>
      </c>
      <c r="U22" s="3">
        <v>240</v>
      </c>
      <c r="V22" s="3">
        <v>236</v>
      </c>
      <c r="W22" s="3">
        <v>1387</v>
      </c>
      <c r="X22" s="3">
        <v>1481</v>
      </c>
      <c r="Y22" s="3">
        <v>3809</v>
      </c>
      <c r="Z22" s="3">
        <v>3670</v>
      </c>
      <c r="AA22" s="3">
        <v>122336</v>
      </c>
      <c r="AB22" s="3">
        <v>146491</v>
      </c>
      <c r="AC22" s="3">
        <v>1423</v>
      </c>
      <c r="AD22" s="3">
        <v>1532</v>
      </c>
      <c r="AE22" s="3">
        <v>1390</v>
      </c>
      <c r="AF22" s="3">
        <v>1386</v>
      </c>
    </row>
    <row r="23" spans="3:32" s="3" customFormat="1">
      <c r="C23" s="3" t="s">
        <v>54</v>
      </c>
      <c r="D23" s="3" t="s">
        <v>55</v>
      </c>
      <c r="E23" s="3" t="s">
        <v>43</v>
      </c>
      <c r="F23" s="3" t="s">
        <v>44</v>
      </c>
      <c r="G23" s="3" t="s">
        <v>6</v>
      </c>
      <c r="H23" s="2">
        <v>46251.643532025497</v>
      </c>
      <c r="I23" s="3">
        <v>124.78</v>
      </c>
      <c r="J23" s="3" t="s">
        <v>47</v>
      </c>
      <c r="K23" s="3">
        <v>30.9</v>
      </c>
      <c r="L23" s="3">
        <v>306</v>
      </c>
      <c r="M23" s="3">
        <v>321.39999999999998</v>
      </c>
      <c r="N23" s="3">
        <v>565</v>
      </c>
      <c r="O23" s="3">
        <v>-76</v>
      </c>
      <c r="P23" s="3">
        <v>4734</v>
      </c>
      <c r="Q23" s="3">
        <v>5167</v>
      </c>
      <c r="R23" s="3">
        <v>0.45</v>
      </c>
      <c r="S23" s="3">
        <v>1487</v>
      </c>
      <c r="T23" s="3">
        <v>1400</v>
      </c>
      <c r="U23" s="3">
        <v>174</v>
      </c>
      <c r="V23" s="3">
        <v>0</v>
      </c>
      <c r="W23" s="3">
        <v>1352</v>
      </c>
      <c r="X23" s="3">
        <v>1375</v>
      </c>
      <c r="Y23" s="3">
        <v>4200</v>
      </c>
      <c r="Z23" s="3">
        <v>4560</v>
      </c>
      <c r="AA23" s="3">
        <v>190003</v>
      </c>
      <c r="AB23" s="3">
        <v>190898</v>
      </c>
      <c r="AC23" s="3">
        <v>1400</v>
      </c>
      <c r="AD23" s="3">
        <v>1466</v>
      </c>
      <c r="AE23" s="3">
        <v>1335</v>
      </c>
      <c r="AF23" s="3">
        <v>1487</v>
      </c>
    </row>
    <row r="24" spans="3:32" s="3" customFormat="1">
      <c r="C24" s="3" t="s">
        <v>56</v>
      </c>
      <c r="D24" s="3" t="s">
        <v>57</v>
      </c>
      <c r="E24" s="3" t="s">
        <v>43</v>
      </c>
      <c r="F24" s="3" t="s">
        <v>44</v>
      </c>
      <c r="G24" s="3" t="s">
        <v>6</v>
      </c>
      <c r="H24" s="2">
        <v>46251.642374768497</v>
      </c>
      <c r="I24" s="3">
        <v>98.54</v>
      </c>
      <c r="J24" s="3" t="s">
        <v>45</v>
      </c>
      <c r="K24" s="3">
        <v>38.299999999999997</v>
      </c>
      <c r="L24" s="3">
        <v>258.2</v>
      </c>
      <c r="M24" s="3">
        <v>255.1</v>
      </c>
      <c r="N24" s="3">
        <v>574</v>
      </c>
      <c r="O24" s="3">
        <v>170</v>
      </c>
      <c r="P24" s="3">
        <v>2958</v>
      </c>
      <c r="Q24" s="3">
        <v>3297</v>
      </c>
      <c r="R24" s="3">
        <v>0.5</v>
      </c>
      <c r="S24" s="3">
        <v>1155</v>
      </c>
      <c r="T24" s="3">
        <v>1185</v>
      </c>
      <c r="U24" s="3">
        <v>176</v>
      </c>
      <c r="V24" s="3">
        <v>170</v>
      </c>
      <c r="W24" s="3">
        <v>1140</v>
      </c>
      <c r="X24" s="3">
        <v>1079</v>
      </c>
      <c r="Y24" s="3">
        <v>4390</v>
      </c>
      <c r="Z24" s="3">
        <v>3653</v>
      </c>
      <c r="AA24" s="3">
        <v>96134</v>
      </c>
      <c r="AB24" s="3">
        <v>95430</v>
      </c>
      <c r="AC24" s="3">
        <v>1185</v>
      </c>
      <c r="AD24" s="3">
        <v>1155</v>
      </c>
      <c r="AE24" s="3">
        <v>1084</v>
      </c>
      <c r="AF24" s="3">
        <v>1122</v>
      </c>
    </row>
    <row r="25" spans="3:32" s="3" customFormat="1">
      <c r="C25" s="3" t="s">
        <v>56</v>
      </c>
      <c r="D25" s="3" t="s">
        <v>57</v>
      </c>
      <c r="E25" s="3" t="s">
        <v>43</v>
      </c>
      <c r="F25" s="3" t="s">
        <v>44</v>
      </c>
      <c r="G25" s="3" t="s">
        <v>6</v>
      </c>
      <c r="H25" s="2">
        <v>46251.642374768497</v>
      </c>
      <c r="I25" s="3">
        <v>98.54</v>
      </c>
      <c r="J25" s="3" t="s">
        <v>46</v>
      </c>
      <c r="K25" s="3">
        <v>39.1</v>
      </c>
      <c r="L25" s="3">
        <v>261.39999999999998</v>
      </c>
      <c r="M25" s="3">
        <v>271.3</v>
      </c>
      <c r="N25" s="3">
        <v>322</v>
      </c>
      <c r="O25" s="3">
        <v>11</v>
      </c>
      <c r="P25" s="3">
        <v>2670</v>
      </c>
      <c r="Q25" s="3">
        <v>3197</v>
      </c>
      <c r="R25" s="3">
        <v>0.52</v>
      </c>
      <c r="S25" s="3">
        <v>1158</v>
      </c>
      <c r="T25" s="3">
        <v>1151</v>
      </c>
      <c r="U25" s="3">
        <v>176</v>
      </c>
      <c r="V25" s="3">
        <v>186</v>
      </c>
      <c r="W25" s="3">
        <v>1054</v>
      </c>
      <c r="X25" s="3">
        <v>1120</v>
      </c>
      <c r="Y25" s="3">
        <v>3272</v>
      </c>
      <c r="Z25" s="3">
        <v>4685</v>
      </c>
      <c r="AA25" s="3">
        <v>130141</v>
      </c>
      <c r="AB25" s="3">
        <v>62919</v>
      </c>
      <c r="AC25" s="3">
        <v>1151</v>
      </c>
      <c r="AD25" s="3">
        <v>1158</v>
      </c>
      <c r="AE25" s="3">
        <v>1101</v>
      </c>
      <c r="AF25" s="3">
        <v>1155</v>
      </c>
    </row>
    <row r="26" spans="3:32" s="3" customFormat="1">
      <c r="C26" s="3" t="s">
        <v>56</v>
      </c>
      <c r="D26" s="3" t="s">
        <v>57</v>
      </c>
      <c r="E26" s="3" t="s">
        <v>43</v>
      </c>
      <c r="F26" s="3" t="s">
        <v>44</v>
      </c>
      <c r="G26" s="3" t="s">
        <v>6</v>
      </c>
      <c r="H26" s="2">
        <v>46251.642374768497</v>
      </c>
      <c r="I26" s="3">
        <v>98.54</v>
      </c>
      <c r="J26" s="3" t="s">
        <v>47</v>
      </c>
      <c r="K26" s="3">
        <v>39.4</v>
      </c>
      <c r="L26" s="3">
        <v>266.7</v>
      </c>
      <c r="M26" s="3">
        <v>265.3</v>
      </c>
      <c r="N26" s="3">
        <v>413</v>
      </c>
      <c r="O26" s="3">
        <v>11</v>
      </c>
      <c r="P26" s="3">
        <v>2795</v>
      </c>
      <c r="Q26" s="3">
        <v>3176</v>
      </c>
      <c r="R26" s="3">
        <v>0.52</v>
      </c>
      <c r="S26" s="3">
        <v>1176</v>
      </c>
      <c r="T26" s="3">
        <v>1172</v>
      </c>
      <c r="U26" s="3">
        <v>188</v>
      </c>
      <c r="V26" s="3">
        <v>176</v>
      </c>
      <c r="W26" s="3">
        <v>1134</v>
      </c>
      <c r="X26" s="3">
        <v>1085</v>
      </c>
      <c r="Y26" s="3">
        <v>5130</v>
      </c>
      <c r="Z26" s="3">
        <v>4265</v>
      </c>
      <c r="AA26" s="3">
        <v>106627</v>
      </c>
      <c r="AB26" s="3">
        <v>122137</v>
      </c>
      <c r="AC26" s="3">
        <v>1172</v>
      </c>
      <c r="AD26" s="3">
        <v>1176</v>
      </c>
      <c r="AE26" s="3">
        <v>1098</v>
      </c>
      <c r="AF26" s="3">
        <v>1170</v>
      </c>
    </row>
    <row r="27" spans="3:32" s="3" customFormat="1">
      <c r="C27" s="3" t="s">
        <v>58</v>
      </c>
      <c r="D27" s="3" t="s">
        <v>59</v>
      </c>
      <c r="E27" s="3" t="s">
        <v>43</v>
      </c>
      <c r="F27" s="3" t="s">
        <v>44</v>
      </c>
      <c r="G27" s="3" t="s">
        <v>6</v>
      </c>
      <c r="H27" s="2">
        <v>46251.6411058218</v>
      </c>
      <c r="I27" s="3">
        <v>141.5</v>
      </c>
      <c r="J27" s="3" t="s">
        <v>45</v>
      </c>
      <c r="K27" s="3">
        <v>33.1</v>
      </c>
      <c r="L27" s="3">
        <v>365.1</v>
      </c>
      <c r="M27" s="3">
        <v>379.9</v>
      </c>
      <c r="N27" s="3">
        <v>1069</v>
      </c>
      <c r="O27" s="3">
        <v>977</v>
      </c>
      <c r="P27" s="3">
        <v>4878</v>
      </c>
      <c r="Q27" s="3">
        <v>4676</v>
      </c>
      <c r="R27" s="3">
        <v>0.45</v>
      </c>
      <c r="S27" s="3">
        <v>1683</v>
      </c>
      <c r="T27" s="3">
        <v>1615</v>
      </c>
      <c r="U27" s="3">
        <v>174</v>
      </c>
      <c r="V27" s="3">
        <v>172</v>
      </c>
      <c r="W27" s="3">
        <v>1509</v>
      </c>
      <c r="X27" s="3">
        <v>1575</v>
      </c>
      <c r="Y27" s="3">
        <v>6431</v>
      </c>
      <c r="Z27" s="3">
        <v>6591</v>
      </c>
      <c r="AA27" s="3">
        <v>235384</v>
      </c>
      <c r="AB27" s="3">
        <v>267977</v>
      </c>
      <c r="AC27" s="3">
        <v>1615</v>
      </c>
      <c r="AD27" s="3">
        <v>1683</v>
      </c>
      <c r="AE27" s="3">
        <v>1429</v>
      </c>
      <c r="AF27" s="3">
        <v>1531</v>
      </c>
    </row>
    <row r="28" spans="3:32" s="3" customFormat="1">
      <c r="C28" s="3" t="s">
        <v>58</v>
      </c>
      <c r="D28" s="3" t="s">
        <v>59</v>
      </c>
      <c r="E28" s="3" t="s">
        <v>43</v>
      </c>
      <c r="F28" s="3" t="s">
        <v>44</v>
      </c>
      <c r="G28" s="3" t="s">
        <v>6</v>
      </c>
      <c r="H28" s="2">
        <v>46251.6411058218</v>
      </c>
      <c r="I28" s="3">
        <v>141.5</v>
      </c>
      <c r="J28" s="3" t="s">
        <v>46</v>
      </c>
      <c r="K28" s="3">
        <v>34.6</v>
      </c>
      <c r="L28" s="3">
        <v>368.1</v>
      </c>
      <c r="M28" s="3">
        <v>376.4</v>
      </c>
      <c r="N28" s="3">
        <v>231</v>
      </c>
      <c r="O28" s="3">
        <v>1300</v>
      </c>
      <c r="P28" s="3">
        <v>5688</v>
      </c>
      <c r="Q28" s="3">
        <v>5030</v>
      </c>
      <c r="R28" s="3">
        <v>0.47</v>
      </c>
      <c r="S28" s="3">
        <v>1652</v>
      </c>
      <c r="T28" s="3">
        <v>1602</v>
      </c>
      <c r="U28" s="3">
        <v>162</v>
      </c>
      <c r="V28" s="3">
        <v>160</v>
      </c>
      <c r="W28" s="3">
        <v>1456</v>
      </c>
      <c r="X28" s="3">
        <v>1569</v>
      </c>
      <c r="Y28" s="3">
        <v>5902</v>
      </c>
      <c r="Z28" s="3">
        <v>5662</v>
      </c>
      <c r="AA28" s="3">
        <v>235907</v>
      </c>
      <c r="AB28" s="3">
        <v>245935</v>
      </c>
      <c r="AC28" s="3">
        <v>1602</v>
      </c>
      <c r="AD28" s="3">
        <v>1652</v>
      </c>
      <c r="AE28" s="3">
        <v>1587</v>
      </c>
      <c r="AF28" s="3">
        <v>1470</v>
      </c>
    </row>
    <row r="29" spans="3:32" s="3" customFormat="1">
      <c r="C29" s="3" t="s">
        <v>60</v>
      </c>
      <c r="D29" s="3" t="s">
        <v>61</v>
      </c>
      <c r="E29" s="3" t="s">
        <v>43</v>
      </c>
      <c r="F29" s="3" t="s">
        <v>44</v>
      </c>
      <c r="G29" s="3" t="s">
        <v>6</v>
      </c>
      <c r="H29" s="2">
        <v>46251.641092094898</v>
      </c>
      <c r="I29" s="3">
        <v>82.97</v>
      </c>
      <c r="J29" s="3" t="s">
        <v>45</v>
      </c>
      <c r="K29" s="3">
        <v>37.4</v>
      </c>
      <c r="L29" s="3">
        <v>235.2</v>
      </c>
      <c r="M29" s="3">
        <v>216.8</v>
      </c>
      <c r="N29" s="3">
        <v>0</v>
      </c>
      <c r="O29" s="3">
        <v>0</v>
      </c>
      <c r="P29" s="3">
        <v>2962</v>
      </c>
      <c r="Q29" s="3">
        <v>2118</v>
      </c>
      <c r="R29" s="3">
        <v>0.49</v>
      </c>
      <c r="S29" s="3">
        <v>886</v>
      </c>
      <c r="T29" s="3">
        <v>1079</v>
      </c>
      <c r="U29" s="3">
        <v>0</v>
      </c>
      <c r="V29" s="3">
        <v>188</v>
      </c>
      <c r="W29" s="3">
        <v>881</v>
      </c>
      <c r="X29" s="3">
        <v>826</v>
      </c>
      <c r="Y29" s="3">
        <v>2236</v>
      </c>
      <c r="Z29" s="3">
        <v>1704</v>
      </c>
      <c r="AA29" s="3">
        <v>25060</v>
      </c>
      <c r="AB29" s="3">
        <v>41403</v>
      </c>
      <c r="AC29" s="3">
        <v>1044</v>
      </c>
      <c r="AD29" s="3">
        <v>884</v>
      </c>
      <c r="AE29" s="3">
        <v>1079</v>
      </c>
      <c r="AF29" s="3">
        <v>886</v>
      </c>
    </row>
    <row r="30" spans="3:32" s="3" customFormat="1">
      <c r="C30" s="3" t="s">
        <v>60</v>
      </c>
      <c r="D30" s="3" t="s">
        <v>61</v>
      </c>
      <c r="E30" s="3" t="s">
        <v>43</v>
      </c>
      <c r="F30" s="3" t="s">
        <v>44</v>
      </c>
      <c r="G30" s="3" t="s">
        <v>6</v>
      </c>
      <c r="H30" s="2">
        <v>46251.641092094898</v>
      </c>
      <c r="I30" s="3">
        <v>82.97</v>
      </c>
      <c r="J30" s="3" t="s">
        <v>46</v>
      </c>
      <c r="K30" s="3">
        <v>41.3</v>
      </c>
      <c r="L30" s="3">
        <v>234</v>
      </c>
      <c r="M30" s="3">
        <v>231.2</v>
      </c>
      <c r="N30" s="3">
        <v>0</v>
      </c>
      <c r="O30" s="3">
        <v>0</v>
      </c>
      <c r="P30" s="3">
        <v>3107</v>
      </c>
      <c r="Q30" s="3">
        <v>2638</v>
      </c>
      <c r="R30" s="3">
        <v>0.56000000000000005</v>
      </c>
      <c r="S30" s="3">
        <v>970</v>
      </c>
      <c r="T30" s="3">
        <v>1106</v>
      </c>
      <c r="U30" s="3">
        <v>0</v>
      </c>
      <c r="V30" s="3">
        <v>0</v>
      </c>
      <c r="W30" s="3">
        <v>876</v>
      </c>
      <c r="X30" s="3">
        <v>882</v>
      </c>
      <c r="Y30" s="3">
        <v>2891</v>
      </c>
      <c r="Z30" s="3">
        <v>2740</v>
      </c>
      <c r="AA30" s="3">
        <v>137004</v>
      </c>
      <c r="AB30" s="3">
        <v>131398</v>
      </c>
      <c r="AC30" s="3">
        <v>1095</v>
      </c>
      <c r="AD30" s="3">
        <v>970</v>
      </c>
      <c r="AE30" s="3">
        <v>1106</v>
      </c>
      <c r="AF30" s="3">
        <v>970</v>
      </c>
    </row>
    <row r="31" spans="3:32" s="3" customFormat="1">
      <c r="C31" s="3" t="s">
        <v>60</v>
      </c>
      <c r="D31" s="3" t="s">
        <v>61</v>
      </c>
      <c r="E31" s="3" t="s">
        <v>43</v>
      </c>
      <c r="F31" s="3" t="s">
        <v>44</v>
      </c>
      <c r="G31" s="3" t="s">
        <v>6</v>
      </c>
      <c r="H31" s="2">
        <v>46251.641092094898</v>
      </c>
      <c r="I31" s="3">
        <v>82.97</v>
      </c>
      <c r="J31" s="3" t="s">
        <v>47</v>
      </c>
      <c r="K31" s="3">
        <v>47.9</v>
      </c>
      <c r="L31" s="3">
        <v>257.7</v>
      </c>
      <c r="M31" s="3">
        <v>239.8</v>
      </c>
      <c r="N31" s="3">
        <v>-500</v>
      </c>
      <c r="O31" s="3">
        <v>1000</v>
      </c>
      <c r="P31" s="3">
        <v>3479</v>
      </c>
      <c r="Q31" s="3">
        <v>2911</v>
      </c>
      <c r="R31" s="3">
        <v>0.66</v>
      </c>
      <c r="S31" s="3">
        <v>945</v>
      </c>
      <c r="T31" s="3">
        <v>1092</v>
      </c>
      <c r="U31" s="3">
        <v>0</v>
      </c>
      <c r="V31" s="3">
        <v>2</v>
      </c>
      <c r="W31" s="3">
        <v>883</v>
      </c>
      <c r="X31" s="3">
        <v>884</v>
      </c>
      <c r="Y31" s="3">
        <v>2212</v>
      </c>
      <c r="Z31" s="3">
        <v>1723</v>
      </c>
      <c r="AA31" s="3">
        <v>47863</v>
      </c>
      <c r="AB31" s="3">
        <v>85068</v>
      </c>
      <c r="AC31" s="3">
        <v>1078</v>
      </c>
      <c r="AD31" s="3">
        <v>945</v>
      </c>
      <c r="AE31" s="3">
        <v>1092</v>
      </c>
      <c r="AF31" s="3">
        <v>943</v>
      </c>
    </row>
    <row r="32" spans="3:32" s="3" customFormat="1">
      <c r="C32" s="3" t="s">
        <v>62</v>
      </c>
      <c r="D32" s="3" t="s">
        <v>63</v>
      </c>
      <c r="E32" s="3" t="s">
        <v>43</v>
      </c>
      <c r="F32" s="3" t="s">
        <v>44</v>
      </c>
      <c r="G32" s="3" t="s">
        <v>6</v>
      </c>
      <c r="H32" s="2">
        <v>46251.638489583303</v>
      </c>
      <c r="I32" s="3">
        <v>102.41</v>
      </c>
      <c r="J32" s="3" t="s">
        <v>45</v>
      </c>
      <c r="K32" s="3">
        <v>46.9</v>
      </c>
      <c r="L32" s="3">
        <v>275.2</v>
      </c>
      <c r="M32" s="3">
        <v>280.60000000000002</v>
      </c>
      <c r="N32" s="3">
        <v>277</v>
      </c>
      <c r="O32" s="3">
        <v>1196</v>
      </c>
      <c r="P32" s="3">
        <v>3270</v>
      </c>
      <c r="Q32" s="3">
        <v>3730</v>
      </c>
      <c r="R32" s="3">
        <v>0.61</v>
      </c>
      <c r="S32" s="3">
        <v>1363</v>
      </c>
      <c r="T32" s="3">
        <v>1300</v>
      </c>
      <c r="U32" s="3">
        <v>152</v>
      </c>
      <c r="V32" s="3">
        <v>150</v>
      </c>
      <c r="W32" s="3">
        <v>1228</v>
      </c>
      <c r="X32" s="3">
        <v>1291</v>
      </c>
      <c r="Y32" s="3">
        <v>6379</v>
      </c>
      <c r="Z32" s="3">
        <v>4922</v>
      </c>
      <c r="AA32" s="3">
        <v>144767</v>
      </c>
      <c r="AB32" s="3">
        <v>199336</v>
      </c>
      <c r="AC32" s="3">
        <v>1300</v>
      </c>
      <c r="AD32" s="3">
        <v>1363</v>
      </c>
      <c r="AE32" s="3">
        <v>1262</v>
      </c>
      <c r="AF32" s="3">
        <v>1185</v>
      </c>
    </row>
    <row r="33" spans="3:32" s="3" customFormat="1">
      <c r="C33" s="3" t="s">
        <v>62</v>
      </c>
      <c r="D33" s="3" t="s">
        <v>63</v>
      </c>
      <c r="E33" s="3" t="s">
        <v>43</v>
      </c>
      <c r="F33" s="3" t="s">
        <v>44</v>
      </c>
      <c r="G33" s="3" t="s">
        <v>6</v>
      </c>
      <c r="H33" s="2">
        <v>46251.638489583303</v>
      </c>
      <c r="I33" s="3">
        <v>102.41</v>
      </c>
      <c r="J33" s="3" t="s">
        <v>46</v>
      </c>
      <c r="K33" s="3">
        <v>48.7</v>
      </c>
      <c r="L33" s="3">
        <v>270.60000000000002</v>
      </c>
      <c r="M33" s="3">
        <v>302.10000000000002</v>
      </c>
      <c r="N33" s="3">
        <v>0</v>
      </c>
      <c r="O33" s="3">
        <v>0</v>
      </c>
      <c r="P33" s="3">
        <v>3562</v>
      </c>
      <c r="Q33" s="3">
        <v>4488</v>
      </c>
      <c r="R33" s="3">
        <v>0.64</v>
      </c>
      <c r="S33" s="3">
        <v>1339</v>
      </c>
      <c r="T33" s="3">
        <v>1392</v>
      </c>
      <c r="U33" s="3">
        <v>0</v>
      </c>
      <c r="V33" s="3">
        <v>180</v>
      </c>
      <c r="W33" s="3">
        <v>1100</v>
      </c>
      <c r="X33" s="3">
        <v>1279</v>
      </c>
      <c r="Y33" s="3">
        <v>5844</v>
      </c>
      <c r="Z33" s="3">
        <v>6029</v>
      </c>
      <c r="AA33" s="3">
        <v>231888</v>
      </c>
      <c r="AB33" s="3">
        <v>224760</v>
      </c>
      <c r="AC33" s="3">
        <v>1379</v>
      </c>
      <c r="AD33" s="3">
        <v>1336</v>
      </c>
      <c r="AE33" s="3">
        <v>1392</v>
      </c>
      <c r="AF33" s="3">
        <v>1339</v>
      </c>
    </row>
    <row r="34" spans="3:32" s="3" customFormat="1">
      <c r="C34" s="3" t="s">
        <v>62</v>
      </c>
      <c r="D34" s="3" t="s">
        <v>63</v>
      </c>
      <c r="E34" s="3" t="s">
        <v>43</v>
      </c>
      <c r="F34" s="3" t="s">
        <v>44</v>
      </c>
      <c r="G34" s="3" t="s">
        <v>6</v>
      </c>
      <c r="H34" s="2">
        <v>46251.638489583303</v>
      </c>
      <c r="I34" s="3">
        <v>102.41</v>
      </c>
      <c r="J34" s="3" t="s">
        <v>47</v>
      </c>
      <c r="K34" s="3">
        <v>50.3</v>
      </c>
      <c r="L34" s="3">
        <v>272.8</v>
      </c>
      <c r="M34" s="3">
        <v>296</v>
      </c>
      <c r="N34" s="3">
        <v>0</v>
      </c>
      <c r="O34" s="3">
        <v>0</v>
      </c>
      <c r="P34" s="3">
        <v>3854</v>
      </c>
      <c r="Q34" s="3">
        <v>3236</v>
      </c>
      <c r="R34" s="3">
        <v>0.68</v>
      </c>
      <c r="S34" s="3">
        <v>1441</v>
      </c>
      <c r="T34" s="3">
        <v>1389</v>
      </c>
      <c r="U34" s="3">
        <v>0</v>
      </c>
      <c r="V34" s="3">
        <v>0</v>
      </c>
      <c r="W34" s="3">
        <v>1120</v>
      </c>
      <c r="X34" s="3">
        <v>1262</v>
      </c>
      <c r="Y34" s="3">
        <v>6415</v>
      </c>
      <c r="Z34" s="3">
        <v>6405</v>
      </c>
      <c r="AA34" s="3">
        <v>266878</v>
      </c>
      <c r="AB34" s="3">
        <v>246722</v>
      </c>
      <c r="AC34" s="3">
        <v>1379</v>
      </c>
      <c r="AD34" s="3">
        <v>1396</v>
      </c>
      <c r="AE34" s="3">
        <v>1389</v>
      </c>
      <c r="AF34" s="3">
        <v>1441</v>
      </c>
    </row>
    <row r="35" spans="3:32" s="3" customFormat="1">
      <c r="C35" s="3" t="s">
        <v>64</v>
      </c>
      <c r="D35" s="3" t="s">
        <v>65</v>
      </c>
      <c r="E35" s="3" t="s">
        <v>43</v>
      </c>
      <c r="F35" s="3" t="s">
        <v>44</v>
      </c>
      <c r="G35" s="3" t="s">
        <v>6</v>
      </c>
      <c r="H35" s="2">
        <v>46251.635935451399</v>
      </c>
      <c r="I35" s="3">
        <v>97.24</v>
      </c>
      <c r="J35" s="3" t="s">
        <v>45</v>
      </c>
      <c r="K35" s="3">
        <v>40.200000000000003</v>
      </c>
      <c r="L35" s="3">
        <v>257.8</v>
      </c>
      <c r="M35" s="3">
        <v>268.10000000000002</v>
      </c>
      <c r="N35" s="3">
        <v>0</v>
      </c>
      <c r="O35" s="3">
        <v>0</v>
      </c>
      <c r="P35" s="3">
        <v>4123</v>
      </c>
      <c r="Q35" s="3">
        <v>4276</v>
      </c>
      <c r="R35" s="3">
        <v>0.56000000000000005</v>
      </c>
      <c r="S35" s="3">
        <v>1415</v>
      </c>
      <c r="T35" s="3">
        <v>1342</v>
      </c>
      <c r="U35" s="3">
        <v>0</v>
      </c>
      <c r="V35" s="3">
        <v>0</v>
      </c>
      <c r="W35" s="3">
        <v>1001</v>
      </c>
      <c r="X35" s="3">
        <v>1012</v>
      </c>
      <c r="Y35" s="3">
        <v>1359</v>
      </c>
      <c r="Z35" s="3">
        <v>1980</v>
      </c>
      <c r="AA35" s="3">
        <v>45002</v>
      </c>
      <c r="AB35" s="3">
        <v>75487</v>
      </c>
      <c r="AC35" s="3">
        <v>1272</v>
      </c>
      <c r="AD35" s="3">
        <v>1358</v>
      </c>
      <c r="AE35" s="3">
        <v>1342</v>
      </c>
      <c r="AF35" s="3">
        <v>1415</v>
      </c>
    </row>
    <row r="36" spans="3:32" s="3" customFormat="1">
      <c r="C36" s="3" t="s">
        <v>64</v>
      </c>
      <c r="D36" s="3" t="s">
        <v>65</v>
      </c>
      <c r="E36" s="3" t="s">
        <v>43</v>
      </c>
      <c r="F36" s="3" t="s">
        <v>44</v>
      </c>
      <c r="G36" s="3" t="s">
        <v>6</v>
      </c>
      <c r="H36" s="2">
        <v>46251.635935451399</v>
      </c>
      <c r="I36" s="3">
        <v>97.24</v>
      </c>
      <c r="J36" s="3" t="s">
        <v>46</v>
      </c>
      <c r="K36" s="3">
        <v>40</v>
      </c>
      <c r="L36" s="3">
        <v>247.3</v>
      </c>
      <c r="M36" s="3">
        <v>252.3</v>
      </c>
      <c r="N36" s="3">
        <v>0</v>
      </c>
      <c r="O36" s="3">
        <v>0</v>
      </c>
      <c r="P36" s="3">
        <v>4712</v>
      </c>
      <c r="Q36" s="3">
        <v>5163</v>
      </c>
      <c r="R36" s="3">
        <v>0.6</v>
      </c>
      <c r="S36" s="3">
        <v>1423</v>
      </c>
      <c r="T36" s="3">
        <v>1321</v>
      </c>
      <c r="U36" s="3">
        <v>0</v>
      </c>
      <c r="V36" s="3">
        <v>0</v>
      </c>
      <c r="W36" s="3">
        <v>1059</v>
      </c>
      <c r="X36" s="3">
        <v>1051</v>
      </c>
      <c r="Y36" s="3">
        <v>1422</v>
      </c>
      <c r="Z36" s="3">
        <v>1800</v>
      </c>
      <c r="AA36" s="3">
        <v>42859</v>
      </c>
      <c r="AB36" s="3">
        <v>19747</v>
      </c>
      <c r="AC36" s="3">
        <v>1314</v>
      </c>
      <c r="AD36" s="3">
        <v>1416</v>
      </c>
      <c r="AE36" s="3">
        <v>1321</v>
      </c>
      <c r="AF36" s="3">
        <v>1423</v>
      </c>
    </row>
    <row r="37" spans="3:32" s="3" customFormat="1">
      <c r="C37" s="3" t="s">
        <v>64</v>
      </c>
      <c r="D37" s="3" t="s">
        <v>65</v>
      </c>
      <c r="E37" s="3" t="s">
        <v>43</v>
      </c>
      <c r="F37" s="3" t="s">
        <v>44</v>
      </c>
      <c r="G37" s="3" t="s">
        <v>6</v>
      </c>
      <c r="H37" s="2">
        <v>46251.635935451399</v>
      </c>
      <c r="I37" s="3">
        <v>97.24</v>
      </c>
      <c r="J37" s="3" t="s">
        <v>47</v>
      </c>
      <c r="K37" s="3">
        <v>41.6</v>
      </c>
      <c r="L37" s="3">
        <v>262</v>
      </c>
      <c r="M37" s="3">
        <v>261.60000000000002</v>
      </c>
      <c r="N37" s="3">
        <v>0</v>
      </c>
      <c r="O37" s="3">
        <v>0</v>
      </c>
      <c r="P37" s="3">
        <v>4364</v>
      </c>
      <c r="Q37" s="3">
        <v>4869</v>
      </c>
      <c r="R37" s="3">
        <v>0.59</v>
      </c>
      <c r="S37" s="3">
        <v>1416</v>
      </c>
      <c r="T37" s="3">
        <v>1392</v>
      </c>
      <c r="U37" s="3">
        <v>0</v>
      </c>
      <c r="V37" s="3">
        <v>0</v>
      </c>
      <c r="W37" s="3">
        <v>983</v>
      </c>
      <c r="X37" s="3">
        <v>993</v>
      </c>
      <c r="Y37" s="3">
        <v>1511</v>
      </c>
      <c r="Z37" s="3">
        <v>1396</v>
      </c>
      <c r="AA37" s="3">
        <v>139608</v>
      </c>
      <c r="AB37" s="3">
        <v>22217</v>
      </c>
      <c r="AC37" s="3">
        <v>1388</v>
      </c>
      <c r="AD37" s="3">
        <v>1406</v>
      </c>
      <c r="AE37" s="3">
        <v>1392</v>
      </c>
      <c r="AF37" s="3">
        <v>1416</v>
      </c>
    </row>
    <row r="38" spans="3:32" s="3" customFormat="1">
      <c r="C38" s="3" t="s">
        <v>66</v>
      </c>
      <c r="D38" s="3" t="s">
        <v>67</v>
      </c>
      <c r="E38" s="3" t="s">
        <v>43</v>
      </c>
      <c r="F38" s="3" t="s">
        <v>44</v>
      </c>
      <c r="G38" s="3" t="s">
        <v>6</v>
      </c>
      <c r="H38" s="2">
        <v>46251.6354208333</v>
      </c>
      <c r="I38" s="3">
        <v>92.23</v>
      </c>
      <c r="J38" s="3" t="s">
        <v>45</v>
      </c>
      <c r="K38" s="3">
        <v>34.700000000000003</v>
      </c>
      <c r="L38" s="3">
        <v>228.8</v>
      </c>
      <c r="M38" s="3">
        <v>229.4</v>
      </c>
      <c r="N38" s="3">
        <v>0</v>
      </c>
      <c r="O38" s="3">
        <v>0</v>
      </c>
      <c r="P38" s="3">
        <v>4496</v>
      </c>
      <c r="Q38" s="3">
        <v>4407</v>
      </c>
      <c r="R38" s="3">
        <v>0.47</v>
      </c>
      <c r="S38" s="3">
        <v>1180</v>
      </c>
      <c r="T38" s="3">
        <v>1290</v>
      </c>
      <c r="U38" s="3">
        <v>0</v>
      </c>
      <c r="V38" s="3">
        <v>4</v>
      </c>
      <c r="W38" s="3">
        <v>936</v>
      </c>
      <c r="X38" s="3">
        <v>954</v>
      </c>
      <c r="Y38" s="3">
        <v>3465</v>
      </c>
      <c r="Z38" s="3">
        <v>2396</v>
      </c>
      <c r="AA38" s="3">
        <v>171126</v>
      </c>
      <c r="AB38" s="3">
        <v>247532</v>
      </c>
      <c r="AC38" s="3">
        <v>1276</v>
      </c>
      <c r="AD38" s="3">
        <v>1180</v>
      </c>
      <c r="AE38" s="3">
        <v>1290</v>
      </c>
      <c r="AF38" s="3">
        <v>1174</v>
      </c>
    </row>
    <row r="39" spans="3:32" s="3" customFormat="1">
      <c r="C39" s="3" t="s">
        <v>66</v>
      </c>
      <c r="D39" s="3" t="s">
        <v>67</v>
      </c>
      <c r="E39" s="3" t="s">
        <v>43</v>
      </c>
      <c r="F39" s="3" t="s">
        <v>44</v>
      </c>
      <c r="G39" s="3" t="s">
        <v>6</v>
      </c>
      <c r="H39" s="2">
        <v>46251.6354208333</v>
      </c>
      <c r="I39" s="3">
        <v>92.23</v>
      </c>
      <c r="J39" s="3" t="s">
        <v>46</v>
      </c>
      <c r="K39" s="3">
        <v>34.700000000000003</v>
      </c>
      <c r="L39" s="3">
        <v>231.3</v>
      </c>
      <c r="M39" s="3">
        <v>220.1</v>
      </c>
      <c r="N39" s="3">
        <v>-750</v>
      </c>
      <c r="O39" s="3">
        <v>3250</v>
      </c>
      <c r="P39" s="3">
        <v>5356</v>
      </c>
      <c r="Q39" s="3">
        <v>5252</v>
      </c>
      <c r="R39" s="3">
        <v>0.55000000000000004</v>
      </c>
      <c r="S39" s="3">
        <v>1153</v>
      </c>
      <c r="T39" s="3">
        <v>1314</v>
      </c>
      <c r="U39" s="3">
        <v>0</v>
      </c>
      <c r="V39" s="3">
        <v>34</v>
      </c>
      <c r="W39" s="3">
        <v>1013</v>
      </c>
      <c r="X39" s="3">
        <v>990</v>
      </c>
      <c r="Y39" s="3">
        <v>2758</v>
      </c>
      <c r="Z39" s="3">
        <v>4564</v>
      </c>
      <c r="AA39" s="3">
        <v>228188</v>
      </c>
      <c r="AB39" s="3">
        <v>98516</v>
      </c>
      <c r="AC39" s="3">
        <v>1296</v>
      </c>
      <c r="AD39" s="3">
        <v>1153</v>
      </c>
      <c r="AE39" s="3">
        <v>1314</v>
      </c>
      <c r="AF39" s="3">
        <v>1104</v>
      </c>
    </row>
    <row r="40" spans="3:32" s="3" customFormat="1">
      <c r="C40" s="3" t="s">
        <v>68</v>
      </c>
      <c r="D40" s="3" t="s">
        <v>69</v>
      </c>
      <c r="E40" s="3" t="s">
        <v>43</v>
      </c>
      <c r="F40" s="3" t="s">
        <v>44</v>
      </c>
      <c r="G40" s="3" t="s">
        <v>6</v>
      </c>
      <c r="H40" s="2">
        <v>46251.6337768866</v>
      </c>
      <c r="I40" s="3">
        <v>95.17</v>
      </c>
      <c r="J40" s="3" t="s">
        <v>45</v>
      </c>
      <c r="K40" s="3">
        <v>42.3</v>
      </c>
      <c r="L40" s="3">
        <v>242.3</v>
      </c>
      <c r="M40" s="3">
        <v>294.10000000000002</v>
      </c>
      <c r="N40" s="3">
        <v>910</v>
      </c>
      <c r="O40" s="3">
        <v>548</v>
      </c>
      <c r="P40" s="3">
        <v>1784</v>
      </c>
      <c r="Q40" s="3">
        <v>3259</v>
      </c>
      <c r="R40" s="3">
        <v>0.49</v>
      </c>
      <c r="S40" s="3">
        <v>1281</v>
      </c>
      <c r="T40" s="3">
        <v>1062</v>
      </c>
      <c r="U40" s="3">
        <v>192</v>
      </c>
      <c r="V40" s="3">
        <v>182</v>
      </c>
      <c r="W40" s="3">
        <v>1014</v>
      </c>
      <c r="X40" s="3">
        <v>1182</v>
      </c>
      <c r="Y40" s="3">
        <v>2476</v>
      </c>
      <c r="Z40" s="3">
        <v>2920</v>
      </c>
      <c r="AA40" s="3">
        <v>48663</v>
      </c>
      <c r="AB40" s="3">
        <v>49529</v>
      </c>
      <c r="AC40" s="3">
        <v>1062</v>
      </c>
      <c r="AD40" s="3">
        <v>1281</v>
      </c>
      <c r="AE40" s="3">
        <v>891</v>
      </c>
      <c r="AF40" s="3">
        <v>1176</v>
      </c>
    </row>
    <row r="41" spans="3:32" s="3" customFormat="1">
      <c r="C41" s="3" t="s">
        <v>68</v>
      </c>
      <c r="D41" s="3" t="s">
        <v>69</v>
      </c>
      <c r="E41" s="3" t="s">
        <v>43</v>
      </c>
      <c r="F41" s="3" t="s">
        <v>44</v>
      </c>
      <c r="G41" s="3" t="s">
        <v>6</v>
      </c>
      <c r="H41" s="2">
        <v>46251.6337768866</v>
      </c>
      <c r="I41" s="3">
        <v>95.17</v>
      </c>
      <c r="J41" s="3" t="s">
        <v>46</v>
      </c>
      <c r="K41" s="3">
        <v>42.8</v>
      </c>
      <c r="L41" s="3">
        <v>247.8</v>
      </c>
      <c r="M41" s="3">
        <v>290.2</v>
      </c>
      <c r="N41" s="3">
        <v>-30</v>
      </c>
      <c r="O41" s="3">
        <v>452</v>
      </c>
      <c r="P41" s="3">
        <v>2494</v>
      </c>
      <c r="Q41" s="3">
        <v>2888</v>
      </c>
      <c r="R41" s="3">
        <v>0.51</v>
      </c>
      <c r="S41" s="3">
        <v>1236</v>
      </c>
      <c r="T41" s="3">
        <v>1042</v>
      </c>
      <c r="U41" s="3">
        <v>0</v>
      </c>
      <c r="V41" s="3">
        <v>178</v>
      </c>
      <c r="W41" s="3">
        <v>977</v>
      </c>
      <c r="X41" s="3">
        <v>1178</v>
      </c>
      <c r="Y41" s="3">
        <v>2749</v>
      </c>
      <c r="Z41" s="3">
        <v>3026</v>
      </c>
      <c r="AA41" s="3">
        <v>79625</v>
      </c>
      <c r="AB41" s="3">
        <v>65463</v>
      </c>
      <c r="AC41" s="3">
        <v>1036</v>
      </c>
      <c r="AD41" s="3">
        <v>1236</v>
      </c>
      <c r="AE41" s="3">
        <v>1042</v>
      </c>
      <c r="AF41" s="3">
        <v>1158</v>
      </c>
    </row>
    <row r="42" spans="3:32" s="3" customFormat="1">
      <c r="C42" s="3" t="s">
        <v>48</v>
      </c>
      <c r="D42" s="3" t="s">
        <v>49</v>
      </c>
      <c r="E42" s="3" t="s">
        <v>43</v>
      </c>
      <c r="F42" s="3" t="s">
        <v>44</v>
      </c>
      <c r="G42" s="3" t="s">
        <v>6</v>
      </c>
      <c r="H42" s="2">
        <v>46251.631283252304</v>
      </c>
      <c r="I42" s="3">
        <v>68.09</v>
      </c>
      <c r="J42" s="3" t="s">
        <v>45</v>
      </c>
      <c r="K42" s="3">
        <v>48.3</v>
      </c>
      <c r="L42" s="3">
        <v>198.7</v>
      </c>
      <c r="M42" s="3">
        <v>177.5</v>
      </c>
      <c r="N42" s="3">
        <v>2000</v>
      </c>
      <c r="O42" s="3">
        <v>-1500</v>
      </c>
      <c r="P42" s="3">
        <v>3554</v>
      </c>
      <c r="Q42" s="3">
        <v>3515</v>
      </c>
      <c r="R42" s="3">
        <v>0.7</v>
      </c>
      <c r="S42" s="3">
        <v>998</v>
      </c>
      <c r="T42" s="3">
        <v>998</v>
      </c>
      <c r="U42" s="3">
        <v>2</v>
      </c>
      <c r="V42" s="3">
        <v>0</v>
      </c>
      <c r="W42" s="3">
        <v>823</v>
      </c>
      <c r="X42" s="3">
        <v>737</v>
      </c>
      <c r="Y42" s="3">
        <v>2628</v>
      </c>
      <c r="Z42" s="3">
        <v>2566</v>
      </c>
      <c r="AA42" s="3">
        <v>58313</v>
      </c>
      <c r="AB42" s="3">
        <v>65711</v>
      </c>
      <c r="AC42" s="3">
        <v>998</v>
      </c>
      <c r="AD42" s="3">
        <v>974</v>
      </c>
      <c r="AE42" s="3">
        <v>998</v>
      </c>
      <c r="AF42" s="3">
        <v>998</v>
      </c>
    </row>
    <row r="43" spans="3:32" s="3" customFormat="1">
      <c r="C43" s="3" t="s">
        <v>48</v>
      </c>
      <c r="D43" s="3" t="s">
        <v>49</v>
      </c>
      <c r="E43" s="3" t="s">
        <v>43</v>
      </c>
      <c r="F43" s="3" t="s">
        <v>44</v>
      </c>
      <c r="G43" s="3" t="s">
        <v>6</v>
      </c>
      <c r="H43" s="2">
        <v>46251.631283252304</v>
      </c>
      <c r="I43" s="3">
        <v>68.09</v>
      </c>
      <c r="J43" s="3" t="s">
        <v>46</v>
      </c>
      <c r="K43" s="3">
        <v>51.5</v>
      </c>
      <c r="L43" s="3">
        <v>187.5</v>
      </c>
      <c r="M43" s="3">
        <v>188.2</v>
      </c>
      <c r="N43" s="3">
        <v>333</v>
      </c>
      <c r="O43" s="3">
        <v>667</v>
      </c>
      <c r="P43" s="3">
        <v>3665</v>
      </c>
      <c r="Q43" s="3">
        <v>4588</v>
      </c>
      <c r="R43" s="3">
        <v>0.79</v>
      </c>
      <c r="S43" s="3">
        <v>1048</v>
      </c>
      <c r="T43" s="3">
        <v>976</v>
      </c>
      <c r="U43" s="3">
        <v>2</v>
      </c>
      <c r="V43" s="3">
        <v>6</v>
      </c>
      <c r="W43" s="3">
        <v>783</v>
      </c>
      <c r="X43" s="3">
        <v>754</v>
      </c>
      <c r="Y43" s="3">
        <v>3196</v>
      </c>
      <c r="Z43" s="3">
        <v>2694</v>
      </c>
      <c r="AA43" s="3">
        <v>112240</v>
      </c>
      <c r="AB43" s="3">
        <v>122940</v>
      </c>
      <c r="AC43" s="3">
        <v>974</v>
      </c>
      <c r="AD43" s="3">
        <v>1048</v>
      </c>
      <c r="AE43" s="3">
        <v>976</v>
      </c>
      <c r="AF43" s="3">
        <v>1044</v>
      </c>
    </row>
    <row r="44" spans="3:32" s="3" customFormat="1">
      <c r="C44" s="3" t="s">
        <v>70</v>
      </c>
      <c r="D44" s="3" t="s">
        <v>71</v>
      </c>
      <c r="E44" s="3" t="s">
        <v>43</v>
      </c>
      <c r="F44" s="3" t="s">
        <v>44</v>
      </c>
      <c r="G44" s="3" t="s">
        <v>6</v>
      </c>
      <c r="H44" s="2">
        <v>46251.6297631134</v>
      </c>
      <c r="I44" s="3">
        <v>91.12</v>
      </c>
      <c r="J44" s="3" t="s">
        <v>45</v>
      </c>
      <c r="K44" s="3">
        <v>36.799999999999997</v>
      </c>
      <c r="L44" s="3">
        <v>226.4</v>
      </c>
      <c r="M44" s="3">
        <v>230.1</v>
      </c>
      <c r="N44" s="3">
        <v>1246</v>
      </c>
      <c r="O44" s="3">
        <v>690</v>
      </c>
      <c r="P44" s="3">
        <v>4782</v>
      </c>
      <c r="Q44" s="3">
        <v>4781</v>
      </c>
      <c r="R44" s="3">
        <v>0.59</v>
      </c>
      <c r="S44" s="3">
        <v>1173</v>
      </c>
      <c r="T44" s="3">
        <v>1156</v>
      </c>
      <c r="U44" s="3">
        <v>142</v>
      </c>
      <c r="V44" s="3">
        <v>148</v>
      </c>
      <c r="W44" s="3">
        <v>1084</v>
      </c>
      <c r="X44" s="3">
        <v>1088</v>
      </c>
      <c r="Y44" s="3">
        <v>2491</v>
      </c>
      <c r="Z44" s="3">
        <v>2991</v>
      </c>
      <c r="AA44" s="3">
        <v>115029</v>
      </c>
      <c r="AB44" s="3">
        <v>103810</v>
      </c>
      <c r="AC44" s="3">
        <v>1156</v>
      </c>
      <c r="AD44" s="3">
        <v>1173</v>
      </c>
      <c r="AE44" s="3">
        <v>1124</v>
      </c>
      <c r="AF44" s="3">
        <v>1163</v>
      </c>
    </row>
    <row r="45" spans="3:32" s="3" customFormat="1">
      <c r="C45" s="3" t="s">
        <v>70</v>
      </c>
      <c r="D45" s="3" t="s">
        <v>71</v>
      </c>
      <c r="E45" s="3" t="s">
        <v>43</v>
      </c>
      <c r="F45" s="3" t="s">
        <v>44</v>
      </c>
      <c r="G45" s="3" t="s">
        <v>6</v>
      </c>
      <c r="H45" s="2">
        <v>46251.6297631134</v>
      </c>
      <c r="I45" s="3">
        <v>91.12</v>
      </c>
      <c r="J45" s="3" t="s">
        <v>46</v>
      </c>
      <c r="K45" s="3">
        <v>37.5</v>
      </c>
      <c r="L45" s="3">
        <v>234</v>
      </c>
      <c r="M45" s="3">
        <v>233.6</v>
      </c>
      <c r="N45" s="3">
        <v>0</v>
      </c>
      <c r="O45" s="3">
        <v>0</v>
      </c>
      <c r="P45" s="3">
        <v>4643</v>
      </c>
      <c r="Q45" s="3">
        <v>4402</v>
      </c>
      <c r="R45" s="3">
        <v>0.56000000000000005</v>
      </c>
      <c r="S45" s="3">
        <v>1166</v>
      </c>
      <c r="T45" s="3">
        <v>1177</v>
      </c>
      <c r="U45" s="3">
        <v>0</v>
      </c>
      <c r="V45" s="3">
        <v>0</v>
      </c>
      <c r="W45" s="3">
        <v>1014</v>
      </c>
      <c r="X45" s="3">
        <v>1026</v>
      </c>
      <c r="Y45" s="3">
        <v>2005</v>
      </c>
      <c r="Z45" s="3">
        <v>2740</v>
      </c>
      <c r="AA45" s="3">
        <v>76104</v>
      </c>
      <c r="AB45" s="3">
        <v>43597</v>
      </c>
      <c r="AC45" s="3">
        <v>1162</v>
      </c>
      <c r="AD45" s="3">
        <v>1159</v>
      </c>
      <c r="AE45" s="3">
        <v>1177</v>
      </c>
      <c r="AF45" s="3">
        <v>1166</v>
      </c>
    </row>
    <row r="46" spans="3:32" s="3" customFormat="1">
      <c r="C46" s="3" t="s">
        <v>70</v>
      </c>
      <c r="D46" s="3" t="s">
        <v>71</v>
      </c>
      <c r="E46" s="3" t="s">
        <v>43</v>
      </c>
      <c r="F46" s="3" t="s">
        <v>44</v>
      </c>
      <c r="G46" s="3" t="s">
        <v>6</v>
      </c>
      <c r="H46" s="2">
        <v>46251.6297631134</v>
      </c>
      <c r="I46" s="3">
        <v>91.12</v>
      </c>
      <c r="J46" s="3" t="s">
        <v>47</v>
      </c>
      <c r="K46" s="3">
        <v>37.9</v>
      </c>
      <c r="L46" s="3">
        <v>230.5</v>
      </c>
      <c r="M46" s="3">
        <v>228.3</v>
      </c>
      <c r="N46" s="3">
        <v>337</v>
      </c>
      <c r="O46" s="3">
        <v>304</v>
      </c>
      <c r="P46" s="3">
        <v>4621</v>
      </c>
      <c r="Q46" s="3">
        <v>4030</v>
      </c>
      <c r="R46" s="3">
        <v>0.6</v>
      </c>
      <c r="S46" s="3">
        <v>1155</v>
      </c>
      <c r="T46" s="3">
        <v>1143</v>
      </c>
      <c r="U46" s="3">
        <v>70</v>
      </c>
      <c r="V46" s="3">
        <v>102</v>
      </c>
      <c r="W46" s="3">
        <v>1071</v>
      </c>
      <c r="X46" s="3">
        <v>1077</v>
      </c>
      <c r="Y46" s="3">
        <v>2579</v>
      </c>
      <c r="Z46" s="3">
        <v>3098</v>
      </c>
      <c r="AA46" s="3">
        <v>86049</v>
      </c>
      <c r="AB46" s="3">
        <v>71651</v>
      </c>
      <c r="AC46" s="3">
        <v>1143</v>
      </c>
      <c r="AD46" s="3">
        <v>1155</v>
      </c>
      <c r="AE46" s="3">
        <v>1108</v>
      </c>
      <c r="AF46" s="3">
        <v>1127</v>
      </c>
    </row>
    <row r="47" spans="3:32" s="3" customFormat="1">
      <c r="C47" s="3" t="s">
        <v>72</v>
      </c>
      <c r="D47" s="3" t="s">
        <v>73</v>
      </c>
      <c r="E47" s="3" t="s">
        <v>43</v>
      </c>
      <c r="F47" s="3" t="s">
        <v>44</v>
      </c>
      <c r="G47" s="3" t="s">
        <v>6</v>
      </c>
      <c r="H47" s="2">
        <v>46251.628894907401</v>
      </c>
      <c r="I47" s="3">
        <v>97.76</v>
      </c>
      <c r="J47" s="3" t="s">
        <v>45</v>
      </c>
      <c r="K47" s="3">
        <v>33.700000000000003</v>
      </c>
      <c r="L47" s="3">
        <v>222</v>
      </c>
      <c r="M47" s="3">
        <v>281.39999999999998</v>
      </c>
      <c r="N47" s="3">
        <v>172</v>
      </c>
      <c r="O47" s="3">
        <v>218</v>
      </c>
      <c r="P47" s="3">
        <v>4397</v>
      </c>
      <c r="Q47" s="3">
        <v>4332</v>
      </c>
      <c r="R47" s="3">
        <v>0.44</v>
      </c>
      <c r="S47" s="3">
        <v>1256</v>
      </c>
      <c r="T47" s="3">
        <v>1155</v>
      </c>
      <c r="U47" s="3">
        <v>174</v>
      </c>
      <c r="V47" s="3">
        <v>184</v>
      </c>
      <c r="W47" s="3">
        <v>984</v>
      </c>
      <c r="X47" s="3">
        <v>1217</v>
      </c>
      <c r="Y47" s="3">
        <v>2904</v>
      </c>
      <c r="Z47" s="3">
        <v>5076</v>
      </c>
      <c r="AA47" s="3">
        <v>634470</v>
      </c>
      <c r="AB47" s="3">
        <v>161358</v>
      </c>
      <c r="AC47" s="3">
        <v>1054</v>
      </c>
      <c r="AD47" s="3">
        <v>1256</v>
      </c>
      <c r="AE47" s="3">
        <v>1155</v>
      </c>
      <c r="AF47" s="3">
        <v>1221</v>
      </c>
    </row>
    <row r="48" spans="3:32" s="3" customFormat="1">
      <c r="C48" s="3" t="s">
        <v>72</v>
      </c>
      <c r="D48" s="3" t="s">
        <v>73</v>
      </c>
      <c r="E48" s="3" t="s">
        <v>43</v>
      </c>
      <c r="F48" s="3" t="s">
        <v>44</v>
      </c>
      <c r="G48" s="3" t="s">
        <v>6</v>
      </c>
      <c r="H48" s="2">
        <v>46251.628894907401</v>
      </c>
      <c r="I48" s="3">
        <v>97.76</v>
      </c>
      <c r="J48" s="3" t="s">
        <v>46</v>
      </c>
      <c r="K48" s="3">
        <v>28.2</v>
      </c>
      <c r="L48" s="3">
        <v>200.4</v>
      </c>
      <c r="M48" s="3">
        <v>265</v>
      </c>
      <c r="N48" s="3">
        <v>0</v>
      </c>
      <c r="O48" s="3">
        <v>0</v>
      </c>
      <c r="P48" s="3">
        <v>3427</v>
      </c>
      <c r="Q48" s="3">
        <v>5391</v>
      </c>
      <c r="R48" s="3">
        <v>0.4</v>
      </c>
      <c r="S48" s="3">
        <v>1320</v>
      </c>
      <c r="T48" s="3">
        <v>1030</v>
      </c>
      <c r="U48" s="3">
        <v>0</v>
      </c>
      <c r="V48" s="3">
        <v>0</v>
      </c>
      <c r="W48" s="3">
        <v>844</v>
      </c>
      <c r="X48" s="3">
        <v>1197</v>
      </c>
      <c r="Y48" s="3">
        <v>3096</v>
      </c>
      <c r="Z48" s="3">
        <v>2428</v>
      </c>
      <c r="AA48" s="3">
        <v>173411</v>
      </c>
      <c r="AB48" s="3">
        <v>172025</v>
      </c>
      <c r="AC48" s="3">
        <v>1005</v>
      </c>
      <c r="AD48" s="3">
        <v>1309</v>
      </c>
      <c r="AE48" s="3">
        <v>1030</v>
      </c>
      <c r="AF48" s="3">
        <v>1320</v>
      </c>
    </row>
    <row r="49" spans="3:32" s="3" customFormat="1">
      <c r="C49" s="3" t="s">
        <v>74</v>
      </c>
      <c r="D49" s="3" t="s">
        <v>75</v>
      </c>
      <c r="E49" s="3" t="s">
        <v>43</v>
      </c>
      <c r="F49" s="3" t="s">
        <v>44</v>
      </c>
      <c r="G49" s="3" t="s">
        <v>6</v>
      </c>
      <c r="H49" s="2">
        <v>46251.627155868096</v>
      </c>
      <c r="I49" s="3">
        <v>124.12</v>
      </c>
      <c r="J49" s="3" t="s">
        <v>45</v>
      </c>
      <c r="K49" s="3">
        <v>33.799999999999997</v>
      </c>
      <c r="L49" s="3">
        <v>310</v>
      </c>
      <c r="M49" s="3">
        <v>315</v>
      </c>
      <c r="N49" s="3">
        <v>2000</v>
      </c>
      <c r="O49" s="3">
        <v>0</v>
      </c>
      <c r="P49" s="3">
        <v>5421</v>
      </c>
      <c r="Q49" s="3">
        <v>5451</v>
      </c>
      <c r="R49" s="3">
        <v>0.49</v>
      </c>
      <c r="S49" s="3">
        <v>1511</v>
      </c>
      <c r="T49" s="3">
        <v>1426</v>
      </c>
      <c r="U49" s="3">
        <v>118</v>
      </c>
      <c r="V49" s="3">
        <v>0</v>
      </c>
      <c r="W49" s="3">
        <v>1327</v>
      </c>
      <c r="X49" s="3">
        <v>1292</v>
      </c>
      <c r="Y49" s="3">
        <v>3952</v>
      </c>
      <c r="Z49" s="3">
        <v>4364</v>
      </c>
      <c r="AA49" s="3">
        <v>121216</v>
      </c>
      <c r="AB49" s="3">
        <v>82343</v>
      </c>
      <c r="AC49" s="3">
        <v>1426</v>
      </c>
      <c r="AD49" s="3">
        <v>1509</v>
      </c>
      <c r="AE49" s="3">
        <v>1376</v>
      </c>
      <c r="AF49" s="3">
        <v>1511</v>
      </c>
    </row>
    <row r="50" spans="3:32" s="3" customFormat="1">
      <c r="C50" s="3" t="s">
        <v>74</v>
      </c>
      <c r="D50" s="3" t="s">
        <v>75</v>
      </c>
      <c r="E50" s="3" t="s">
        <v>43</v>
      </c>
      <c r="F50" s="3" t="s">
        <v>44</v>
      </c>
      <c r="G50" s="3" t="s">
        <v>6</v>
      </c>
      <c r="H50" s="2">
        <v>46251.627155868096</v>
      </c>
      <c r="I50" s="3">
        <v>124.12</v>
      </c>
      <c r="J50" s="3" t="s">
        <v>46</v>
      </c>
      <c r="K50" s="3">
        <v>34.700000000000003</v>
      </c>
      <c r="L50" s="3">
        <v>307.2</v>
      </c>
      <c r="M50" s="3">
        <v>321.5</v>
      </c>
      <c r="N50" s="3">
        <v>350</v>
      </c>
      <c r="O50" s="3">
        <v>100</v>
      </c>
      <c r="P50" s="3">
        <v>6332</v>
      </c>
      <c r="Q50" s="3">
        <v>6686</v>
      </c>
      <c r="R50" s="3">
        <v>0.5</v>
      </c>
      <c r="S50" s="3">
        <v>1572</v>
      </c>
      <c r="T50" s="3">
        <v>1529</v>
      </c>
      <c r="U50" s="3">
        <v>30</v>
      </c>
      <c r="V50" s="3">
        <v>16</v>
      </c>
      <c r="W50" s="3">
        <v>1297</v>
      </c>
      <c r="X50" s="3">
        <v>1346</v>
      </c>
      <c r="Y50" s="3">
        <v>3573</v>
      </c>
      <c r="Z50" s="3">
        <v>3798</v>
      </c>
      <c r="AA50" s="3">
        <v>82560</v>
      </c>
      <c r="AB50" s="3">
        <v>81215</v>
      </c>
      <c r="AC50" s="3">
        <v>1529</v>
      </c>
      <c r="AD50" s="3">
        <v>1571</v>
      </c>
      <c r="AE50" s="3">
        <v>1526</v>
      </c>
      <c r="AF50" s="3">
        <v>1572</v>
      </c>
    </row>
    <row r="51" spans="3:32" s="3" customFormat="1">
      <c r="C51" s="3" t="s">
        <v>76</v>
      </c>
      <c r="D51" s="3" t="s">
        <v>77</v>
      </c>
      <c r="E51" s="3" t="s">
        <v>43</v>
      </c>
      <c r="F51" s="3" t="s">
        <v>44</v>
      </c>
      <c r="G51" s="3" t="s">
        <v>6</v>
      </c>
      <c r="H51" s="2">
        <v>46251.626139699103</v>
      </c>
      <c r="I51" s="3">
        <v>84.21</v>
      </c>
      <c r="J51" s="3" t="s">
        <v>45</v>
      </c>
      <c r="K51" s="3">
        <v>38.700000000000003</v>
      </c>
      <c r="L51" s="3">
        <v>219.3</v>
      </c>
      <c r="M51" s="3">
        <v>206.3</v>
      </c>
      <c r="N51" s="3">
        <v>0</v>
      </c>
      <c r="O51" s="3">
        <v>0</v>
      </c>
      <c r="P51" s="3">
        <v>4299</v>
      </c>
      <c r="Q51" s="3">
        <v>3401</v>
      </c>
      <c r="R51" s="3">
        <v>0.57999999999999996</v>
      </c>
      <c r="S51" s="3">
        <v>1080</v>
      </c>
      <c r="T51" s="3">
        <v>1236</v>
      </c>
      <c r="U51" s="3">
        <v>0</v>
      </c>
      <c r="V51" s="3">
        <v>14</v>
      </c>
      <c r="W51" s="3">
        <v>954</v>
      </c>
      <c r="X51" s="3">
        <v>931</v>
      </c>
      <c r="Y51" s="3">
        <v>4152</v>
      </c>
      <c r="Z51" s="3">
        <v>4772</v>
      </c>
      <c r="AA51" s="3">
        <v>298235</v>
      </c>
      <c r="AB51" s="3">
        <v>296603</v>
      </c>
      <c r="AC51" s="3">
        <v>1218</v>
      </c>
      <c r="AD51" s="3">
        <v>1080</v>
      </c>
      <c r="AE51" s="3">
        <v>1236</v>
      </c>
      <c r="AF51" s="3">
        <v>1079</v>
      </c>
    </row>
    <row r="52" spans="3:32" s="3" customFormat="1">
      <c r="C52" s="3" t="s">
        <v>76</v>
      </c>
      <c r="D52" s="3" t="s">
        <v>77</v>
      </c>
      <c r="E52" s="3" t="s">
        <v>43</v>
      </c>
      <c r="F52" s="3" t="s">
        <v>44</v>
      </c>
      <c r="G52" s="3" t="s">
        <v>6</v>
      </c>
      <c r="H52" s="2">
        <v>46251.626139699103</v>
      </c>
      <c r="I52" s="3">
        <v>84.21</v>
      </c>
      <c r="J52" s="3" t="s">
        <v>46</v>
      </c>
      <c r="K52" s="3">
        <v>37</v>
      </c>
      <c r="L52" s="3">
        <v>195.8</v>
      </c>
      <c r="M52" s="3">
        <v>205.2</v>
      </c>
      <c r="N52" s="3">
        <v>-813</v>
      </c>
      <c r="O52" s="3">
        <v>2531</v>
      </c>
      <c r="P52" s="3">
        <v>4946</v>
      </c>
      <c r="Q52" s="3">
        <v>4122</v>
      </c>
      <c r="R52" s="3">
        <v>0.63</v>
      </c>
      <c r="S52" s="3">
        <v>1230</v>
      </c>
      <c r="T52" s="3">
        <v>1317</v>
      </c>
      <c r="U52" s="3">
        <v>2</v>
      </c>
      <c r="V52" s="3">
        <v>40</v>
      </c>
      <c r="W52" s="3">
        <v>1009</v>
      </c>
      <c r="X52" s="3">
        <v>1078</v>
      </c>
      <c r="Y52" s="3">
        <v>3182</v>
      </c>
      <c r="Z52" s="3">
        <v>2442</v>
      </c>
      <c r="AA52" s="3">
        <v>101740</v>
      </c>
      <c r="AB52" s="3">
        <v>176802</v>
      </c>
      <c r="AC52" s="3">
        <v>1317</v>
      </c>
      <c r="AD52" s="3">
        <v>1230</v>
      </c>
      <c r="AE52" s="3">
        <v>1316</v>
      </c>
      <c r="AF52" s="3">
        <v>1147</v>
      </c>
    </row>
    <row r="53" spans="3:32" s="3" customFormat="1">
      <c r="C53" s="3" t="s">
        <v>76</v>
      </c>
      <c r="D53" s="3" t="s">
        <v>77</v>
      </c>
      <c r="E53" s="3" t="s">
        <v>43</v>
      </c>
      <c r="F53" s="3" t="s">
        <v>44</v>
      </c>
      <c r="G53" s="3" t="s">
        <v>6</v>
      </c>
      <c r="H53" s="2">
        <v>46251.626139699103</v>
      </c>
      <c r="I53" s="3">
        <v>84.21</v>
      </c>
      <c r="J53" s="3" t="s">
        <v>47</v>
      </c>
      <c r="K53" s="3">
        <v>42.3</v>
      </c>
      <c r="L53" s="3">
        <v>206.3</v>
      </c>
      <c r="M53" s="3">
        <v>198.9</v>
      </c>
      <c r="N53" s="3">
        <v>-107</v>
      </c>
      <c r="O53" s="3">
        <v>1500</v>
      </c>
      <c r="P53" s="3">
        <v>5053</v>
      </c>
      <c r="Q53" s="3">
        <v>5482</v>
      </c>
      <c r="R53" s="3">
        <v>0.75</v>
      </c>
      <c r="S53" s="3">
        <v>1310</v>
      </c>
      <c r="T53" s="3">
        <v>1377</v>
      </c>
      <c r="U53" s="3">
        <v>12</v>
      </c>
      <c r="V53" s="3">
        <v>28</v>
      </c>
      <c r="W53" s="3">
        <v>1078</v>
      </c>
      <c r="X53" s="3">
        <v>1070</v>
      </c>
      <c r="Y53" s="3">
        <v>3243</v>
      </c>
      <c r="Z53" s="3">
        <v>3035</v>
      </c>
      <c r="AA53" s="3">
        <v>137944</v>
      </c>
      <c r="AB53" s="3">
        <v>270287</v>
      </c>
      <c r="AC53" s="3">
        <v>1377</v>
      </c>
      <c r="AD53" s="3">
        <v>1310</v>
      </c>
      <c r="AE53" s="3">
        <v>1373</v>
      </c>
      <c r="AF53" s="3">
        <v>1268</v>
      </c>
    </row>
    <row r="54" spans="3:32" s="3" customFormat="1">
      <c r="C54" s="3" t="s">
        <v>78</v>
      </c>
      <c r="D54" s="3" t="s">
        <v>79</v>
      </c>
      <c r="E54" s="3" t="s">
        <v>43</v>
      </c>
      <c r="F54" s="3" t="s">
        <v>44</v>
      </c>
      <c r="G54" s="3" t="s">
        <v>6</v>
      </c>
      <c r="H54" s="2">
        <v>46251.625394247698</v>
      </c>
      <c r="I54" s="3">
        <v>119.03</v>
      </c>
      <c r="J54" s="3" t="s">
        <v>45</v>
      </c>
      <c r="K54" s="3">
        <v>34.5</v>
      </c>
      <c r="L54" s="3">
        <v>345.4</v>
      </c>
      <c r="M54" s="3">
        <v>304.3</v>
      </c>
      <c r="N54" s="3">
        <v>770</v>
      </c>
      <c r="O54" s="3">
        <v>490</v>
      </c>
      <c r="P54" s="3">
        <v>3679</v>
      </c>
      <c r="Q54" s="3">
        <v>3437</v>
      </c>
      <c r="R54" s="3">
        <v>0.46</v>
      </c>
      <c r="S54" s="3">
        <v>1301</v>
      </c>
      <c r="T54" s="3">
        <v>1412</v>
      </c>
      <c r="U54" s="3">
        <v>196</v>
      </c>
      <c r="V54" s="3">
        <v>196</v>
      </c>
      <c r="W54" s="3">
        <v>1351</v>
      </c>
      <c r="X54" s="3">
        <v>1234</v>
      </c>
      <c r="Y54" s="3">
        <v>5111</v>
      </c>
      <c r="Z54" s="3">
        <v>5415</v>
      </c>
      <c r="AA54" s="3">
        <v>123063</v>
      </c>
      <c r="AB54" s="3">
        <v>106488</v>
      </c>
      <c r="AC54" s="3">
        <v>1412</v>
      </c>
      <c r="AD54" s="3">
        <v>1301</v>
      </c>
      <c r="AE54" s="3">
        <v>1263</v>
      </c>
      <c r="AF54" s="3">
        <v>1209</v>
      </c>
    </row>
    <row r="55" spans="3:32" s="3" customFormat="1">
      <c r="C55" s="3" t="s">
        <v>78</v>
      </c>
      <c r="D55" s="3" t="s">
        <v>79</v>
      </c>
      <c r="E55" s="3" t="s">
        <v>43</v>
      </c>
      <c r="F55" s="3" t="s">
        <v>44</v>
      </c>
      <c r="G55" s="3" t="s">
        <v>6</v>
      </c>
      <c r="H55" s="2">
        <v>46251.625394247698</v>
      </c>
      <c r="I55" s="3">
        <v>119.03</v>
      </c>
      <c r="J55" s="3" t="s">
        <v>46</v>
      </c>
      <c r="K55" s="3">
        <v>33.5</v>
      </c>
      <c r="L55" s="3">
        <v>337.1</v>
      </c>
      <c r="M55" s="3">
        <v>344.8</v>
      </c>
      <c r="N55" s="3">
        <v>-1500</v>
      </c>
      <c r="O55" s="3">
        <v>2500</v>
      </c>
      <c r="P55" s="3">
        <v>3626</v>
      </c>
      <c r="Q55" s="3">
        <v>3705</v>
      </c>
      <c r="R55" s="3">
        <v>0.42</v>
      </c>
      <c r="S55" s="3">
        <v>1304</v>
      </c>
      <c r="T55" s="3">
        <v>1239</v>
      </c>
      <c r="U55" s="3">
        <v>224</v>
      </c>
      <c r="V55" s="3">
        <v>2</v>
      </c>
      <c r="W55" s="3">
        <v>1186</v>
      </c>
      <c r="X55" s="3">
        <v>1180</v>
      </c>
      <c r="Y55" s="3">
        <v>5220</v>
      </c>
      <c r="Z55" s="3">
        <v>5375</v>
      </c>
      <c r="AA55" s="3">
        <v>111974</v>
      </c>
      <c r="AB55" s="3">
        <v>108759</v>
      </c>
      <c r="AC55" s="3">
        <v>1239</v>
      </c>
      <c r="AD55" s="3">
        <v>1304</v>
      </c>
      <c r="AE55" s="3">
        <v>1231</v>
      </c>
      <c r="AF55" s="3">
        <v>1304</v>
      </c>
    </row>
    <row r="56" spans="3:32" s="3" customFormat="1">
      <c r="C56" s="3" t="s">
        <v>80</v>
      </c>
      <c r="D56" s="3" t="s">
        <v>81</v>
      </c>
      <c r="E56" s="3" t="s">
        <v>43</v>
      </c>
      <c r="F56" s="3" t="s">
        <v>44</v>
      </c>
      <c r="G56" s="3" t="s">
        <v>6</v>
      </c>
      <c r="H56" s="2">
        <v>46251.624577314797</v>
      </c>
      <c r="I56" s="3">
        <v>90.82</v>
      </c>
      <c r="J56" s="3" t="s">
        <v>45</v>
      </c>
      <c r="K56" s="3">
        <v>46.6</v>
      </c>
      <c r="L56" s="3">
        <v>252.2</v>
      </c>
      <c r="M56" s="3">
        <v>234.2</v>
      </c>
      <c r="N56" s="3">
        <v>0</v>
      </c>
      <c r="O56" s="3">
        <v>0</v>
      </c>
      <c r="P56" s="3">
        <v>3618</v>
      </c>
      <c r="Q56" s="3">
        <v>3637</v>
      </c>
      <c r="R56" s="3">
        <v>0.64</v>
      </c>
      <c r="S56" s="3">
        <v>1196</v>
      </c>
      <c r="T56" s="3">
        <v>1244</v>
      </c>
      <c r="U56" s="3">
        <v>2</v>
      </c>
      <c r="V56" s="3">
        <v>0</v>
      </c>
      <c r="W56" s="3">
        <v>1092</v>
      </c>
      <c r="X56" s="3">
        <v>1048</v>
      </c>
      <c r="Y56" s="3">
        <v>4143</v>
      </c>
      <c r="Z56" s="3">
        <v>5367</v>
      </c>
      <c r="AA56" s="3">
        <v>447230</v>
      </c>
      <c r="AB56" s="3">
        <v>230191</v>
      </c>
      <c r="AC56" s="3">
        <v>1241</v>
      </c>
      <c r="AD56" s="3">
        <v>1192</v>
      </c>
      <c r="AE56" s="3">
        <v>1244</v>
      </c>
      <c r="AF56" s="3">
        <v>1196</v>
      </c>
    </row>
    <row r="57" spans="3:32" s="3" customFormat="1">
      <c r="C57" s="3" t="s">
        <v>80</v>
      </c>
      <c r="D57" s="3" t="s">
        <v>81</v>
      </c>
      <c r="E57" s="3" t="s">
        <v>43</v>
      </c>
      <c r="F57" s="3" t="s">
        <v>44</v>
      </c>
      <c r="G57" s="3" t="s">
        <v>6</v>
      </c>
      <c r="H57" s="2">
        <v>46251.624577314797</v>
      </c>
      <c r="I57" s="3">
        <v>90.82</v>
      </c>
      <c r="J57" s="3" t="s">
        <v>46</v>
      </c>
      <c r="K57" s="3">
        <v>46</v>
      </c>
      <c r="L57" s="3">
        <v>255.7</v>
      </c>
      <c r="M57" s="3">
        <v>229.9</v>
      </c>
      <c r="N57" s="3">
        <v>833</v>
      </c>
      <c r="O57" s="3">
        <v>1833</v>
      </c>
      <c r="P57" s="3">
        <v>4188</v>
      </c>
      <c r="Q57" s="3">
        <v>3806</v>
      </c>
      <c r="R57" s="3">
        <v>0.65</v>
      </c>
      <c r="S57" s="3">
        <v>1153</v>
      </c>
      <c r="T57" s="3">
        <v>1322</v>
      </c>
      <c r="U57" s="3">
        <v>10</v>
      </c>
      <c r="V57" s="3">
        <v>6</v>
      </c>
      <c r="W57" s="3">
        <v>1071</v>
      </c>
      <c r="X57" s="3">
        <v>1030</v>
      </c>
      <c r="Y57" s="3">
        <v>3969</v>
      </c>
      <c r="Z57" s="3">
        <v>4483</v>
      </c>
      <c r="AA57" s="3">
        <v>320197</v>
      </c>
      <c r="AB57" s="3">
        <v>220525</v>
      </c>
      <c r="AC57" s="3">
        <v>1322</v>
      </c>
      <c r="AD57" s="3">
        <v>1153</v>
      </c>
      <c r="AE57" s="3">
        <v>1314</v>
      </c>
      <c r="AF57" s="3">
        <v>1142</v>
      </c>
    </row>
    <row r="58" spans="3:32" s="3" customFormat="1">
      <c r="C58" s="3" t="s">
        <v>82</v>
      </c>
      <c r="D58" s="3" t="s">
        <v>83</v>
      </c>
      <c r="E58" s="3" t="s">
        <v>43</v>
      </c>
      <c r="F58" s="3" t="s">
        <v>44</v>
      </c>
      <c r="G58" s="3" t="s">
        <v>6</v>
      </c>
      <c r="H58" s="2">
        <v>46251.623699884301</v>
      </c>
      <c r="I58" s="3">
        <v>83.87</v>
      </c>
      <c r="J58" s="3" t="s">
        <v>45</v>
      </c>
      <c r="K58" s="3">
        <v>41.8</v>
      </c>
      <c r="L58" s="3">
        <v>217.3</v>
      </c>
      <c r="M58" s="3">
        <v>199.9</v>
      </c>
      <c r="N58" s="3">
        <v>0</v>
      </c>
      <c r="O58" s="3">
        <v>0</v>
      </c>
      <c r="P58" s="3">
        <v>4933</v>
      </c>
      <c r="Q58" s="3">
        <v>3941</v>
      </c>
      <c r="R58" s="3">
        <v>0.72</v>
      </c>
      <c r="S58" s="3">
        <v>1067</v>
      </c>
      <c r="T58" s="3">
        <v>1265</v>
      </c>
      <c r="U58" s="3">
        <v>0</v>
      </c>
      <c r="V58" s="3">
        <v>4</v>
      </c>
      <c r="W58" s="3">
        <v>1046</v>
      </c>
      <c r="X58" s="3">
        <v>996</v>
      </c>
      <c r="Y58" s="3">
        <v>2165</v>
      </c>
      <c r="Z58" s="3">
        <v>2557</v>
      </c>
      <c r="AA58" s="3">
        <v>53266</v>
      </c>
      <c r="AB58" s="3">
        <v>38669</v>
      </c>
      <c r="AC58" s="3">
        <v>1239</v>
      </c>
      <c r="AD58" s="3">
        <v>1067</v>
      </c>
      <c r="AE58" s="3">
        <v>1265</v>
      </c>
      <c r="AF58" s="3">
        <v>1065</v>
      </c>
    </row>
    <row r="59" spans="3:32" s="3" customFormat="1">
      <c r="C59" s="3" t="s">
        <v>82</v>
      </c>
      <c r="D59" s="3" t="s">
        <v>83</v>
      </c>
      <c r="E59" s="3" t="s">
        <v>43</v>
      </c>
      <c r="F59" s="3" t="s">
        <v>44</v>
      </c>
      <c r="G59" s="3" t="s">
        <v>6</v>
      </c>
      <c r="H59" s="2">
        <v>46251.623699884301</v>
      </c>
      <c r="I59" s="3">
        <v>83.87</v>
      </c>
      <c r="J59" s="3" t="s">
        <v>46</v>
      </c>
      <c r="K59" s="3">
        <v>41.3</v>
      </c>
      <c r="L59" s="3">
        <v>216.7</v>
      </c>
      <c r="M59" s="3">
        <v>204.5</v>
      </c>
      <c r="N59" s="3">
        <v>0</v>
      </c>
      <c r="O59" s="3">
        <v>0</v>
      </c>
      <c r="P59" s="3">
        <v>5083</v>
      </c>
      <c r="Q59" s="3">
        <v>4216</v>
      </c>
      <c r="R59" s="3">
        <v>0.68</v>
      </c>
      <c r="S59" s="3">
        <v>1096</v>
      </c>
      <c r="T59" s="3">
        <v>1258</v>
      </c>
      <c r="U59" s="3">
        <v>0</v>
      </c>
      <c r="V59" s="3">
        <v>10</v>
      </c>
      <c r="W59" s="3">
        <v>992</v>
      </c>
      <c r="X59" s="3">
        <v>978</v>
      </c>
      <c r="Y59" s="3">
        <v>3003</v>
      </c>
      <c r="Z59" s="3">
        <v>3627</v>
      </c>
      <c r="AA59" s="3">
        <v>86351</v>
      </c>
      <c r="AB59" s="3">
        <v>68260</v>
      </c>
      <c r="AC59" s="3">
        <v>1244</v>
      </c>
      <c r="AD59" s="3">
        <v>1096</v>
      </c>
      <c r="AE59" s="3">
        <v>1258</v>
      </c>
      <c r="AF59" s="3">
        <v>1095</v>
      </c>
    </row>
    <row r="60" spans="3:32" s="3" customFormat="1">
      <c r="C60" s="3" t="s">
        <v>84</v>
      </c>
      <c r="D60" s="3" t="s">
        <v>85</v>
      </c>
      <c r="E60" s="3" t="s">
        <v>43</v>
      </c>
      <c r="F60" s="3" t="s">
        <v>44</v>
      </c>
      <c r="G60" s="3" t="s">
        <v>6</v>
      </c>
      <c r="H60" s="2">
        <v>46251.619793715297</v>
      </c>
      <c r="I60" s="3">
        <v>143.47999999999999</v>
      </c>
      <c r="J60" s="3" t="s">
        <v>45</v>
      </c>
      <c r="K60" s="3">
        <v>32.5</v>
      </c>
      <c r="L60" s="3">
        <v>371</v>
      </c>
      <c r="M60" s="3">
        <v>379</v>
      </c>
      <c r="N60" s="3">
        <v>2500</v>
      </c>
      <c r="O60" s="3">
        <v>-1667</v>
      </c>
      <c r="P60" s="3">
        <v>7199</v>
      </c>
      <c r="Q60" s="3">
        <v>7367</v>
      </c>
      <c r="R60" s="3">
        <v>0.48</v>
      </c>
      <c r="S60" s="3">
        <v>1920</v>
      </c>
      <c r="T60" s="3">
        <v>1706</v>
      </c>
      <c r="U60" s="3">
        <v>14</v>
      </c>
      <c r="V60" s="3">
        <v>0</v>
      </c>
      <c r="W60" s="3">
        <v>1411</v>
      </c>
      <c r="X60" s="3">
        <v>1428</v>
      </c>
      <c r="Y60" s="3">
        <v>4719</v>
      </c>
      <c r="Z60" s="3">
        <v>3212</v>
      </c>
      <c r="AA60" s="3">
        <v>160588</v>
      </c>
      <c r="AB60" s="3">
        <v>393287</v>
      </c>
      <c r="AC60" s="3">
        <v>1706</v>
      </c>
      <c r="AD60" s="3">
        <v>1882</v>
      </c>
      <c r="AE60" s="3">
        <v>1684</v>
      </c>
      <c r="AF60" s="3">
        <v>1920</v>
      </c>
    </row>
    <row r="61" spans="3:32" s="3" customFormat="1">
      <c r="C61" s="3" t="s">
        <v>84</v>
      </c>
      <c r="D61" s="3" t="s">
        <v>85</v>
      </c>
      <c r="E61" s="3" t="s">
        <v>43</v>
      </c>
      <c r="F61" s="3" t="s">
        <v>44</v>
      </c>
      <c r="G61" s="3" t="s">
        <v>6</v>
      </c>
      <c r="H61" s="2">
        <v>46251.619793715297</v>
      </c>
      <c r="I61" s="3">
        <v>143.47999999999999</v>
      </c>
      <c r="J61" s="3" t="s">
        <v>46</v>
      </c>
      <c r="K61" s="3">
        <v>33.9</v>
      </c>
      <c r="L61" s="3">
        <v>370.6</v>
      </c>
      <c r="M61" s="3">
        <v>395.2</v>
      </c>
      <c r="N61" s="3">
        <v>0</v>
      </c>
      <c r="O61" s="3">
        <v>0</v>
      </c>
      <c r="P61" s="3">
        <v>7764</v>
      </c>
      <c r="Q61" s="3">
        <v>9525</v>
      </c>
      <c r="R61" s="3">
        <v>0.5</v>
      </c>
      <c r="S61" s="3">
        <v>1974</v>
      </c>
      <c r="T61" s="3">
        <v>1782</v>
      </c>
      <c r="U61" s="3">
        <v>2</v>
      </c>
      <c r="V61" s="3">
        <v>0</v>
      </c>
      <c r="W61" s="3">
        <v>1373</v>
      </c>
      <c r="X61" s="3">
        <v>1452</v>
      </c>
      <c r="Y61" s="3">
        <v>4894</v>
      </c>
      <c r="Z61" s="3">
        <v>6683</v>
      </c>
      <c r="AA61" s="3">
        <v>556897</v>
      </c>
      <c r="AB61" s="3">
        <v>407870</v>
      </c>
      <c r="AC61" s="3">
        <v>1714</v>
      </c>
      <c r="AD61" s="3">
        <v>1938</v>
      </c>
      <c r="AE61" s="3">
        <v>1782</v>
      </c>
      <c r="AF61" s="3">
        <v>1974</v>
      </c>
    </row>
    <row r="62" spans="3:32" s="3" customFormat="1">
      <c r="C62" s="3" t="s">
        <v>84</v>
      </c>
      <c r="D62" s="3" t="s">
        <v>85</v>
      </c>
      <c r="E62" s="3" t="s">
        <v>43</v>
      </c>
      <c r="F62" s="3" t="s">
        <v>44</v>
      </c>
      <c r="G62" s="3" t="s">
        <v>6</v>
      </c>
      <c r="H62" s="2">
        <v>46251.619793715297</v>
      </c>
      <c r="I62" s="3">
        <v>143.47999999999999</v>
      </c>
      <c r="J62" s="3" t="s">
        <v>47</v>
      </c>
      <c r="K62" s="3">
        <v>33.200000000000003</v>
      </c>
      <c r="L62" s="3">
        <v>359.8</v>
      </c>
      <c r="M62" s="3">
        <v>380.9</v>
      </c>
      <c r="N62" s="3">
        <v>0</v>
      </c>
      <c r="O62" s="3">
        <v>0</v>
      </c>
      <c r="P62" s="3">
        <v>8730</v>
      </c>
      <c r="Q62" s="3">
        <v>10536</v>
      </c>
      <c r="R62" s="3">
        <v>0.51</v>
      </c>
      <c r="S62" s="3">
        <v>2101</v>
      </c>
      <c r="T62" s="3">
        <v>1834</v>
      </c>
      <c r="U62" s="3">
        <v>0</v>
      </c>
      <c r="V62" s="3">
        <v>0</v>
      </c>
      <c r="W62" s="3">
        <v>1362</v>
      </c>
      <c r="X62" s="3">
        <v>1406</v>
      </c>
      <c r="Y62" s="3">
        <v>5420</v>
      </c>
      <c r="Z62" s="3">
        <v>4183</v>
      </c>
      <c r="AA62" s="3">
        <v>232376</v>
      </c>
      <c r="AB62" s="3">
        <v>387174</v>
      </c>
      <c r="AC62" s="3">
        <v>1816</v>
      </c>
      <c r="AD62" s="3">
        <v>2089</v>
      </c>
      <c r="AE62" s="3">
        <v>1834</v>
      </c>
      <c r="AF62" s="3">
        <v>2101</v>
      </c>
    </row>
    <row r="63" spans="3:32" s="3" customFormat="1">
      <c r="C63" s="3" t="s">
        <v>86</v>
      </c>
      <c r="D63" s="3" t="s">
        <v>87</v>
      </c>
      <c r="E63" s="3" t="s">
        <v>43</v>
      </c>
      <c r="F63" s="3" t="s">
        <v>44</v>
      </c>
      <c r="G63" s="3" t="s">
        <v>6</v>
      </c>
      <c r="H63" s="2">
        <v>46251.619765937503</v>
      </c>
      <c r="I63" s="3">
        <v>98.72</v>
      </c>
      <c r="J63" s="3" t="s">
        <v>45</v>
      </c>
      <c r="K63" s="3">
        <v>42.9</v>
      </c>
      <c r="L63" s="3">
        <v>249.3</v>
      </c>
      <c r="M63" s="3">
        <v>266.2</v>
      </c>
      <c r="N63" s="3">
        <v>609</v>
      </c>
      <c r="O63" s="3">
        <v>696</v>
      </c>
      <c r="P63" s="3">
        <v>3910</v>
      </c>
      <c r="Q63" s="3">
        <v>4038</v>
      </c>
      <c r="R63" s="3">
        <v>0.63</v>
      </c>
      <c r="S63" s="3">
        <v>1279</v>
      </c>
      <c r="T63" s="3">
        <v>1237</v>
      </c>
      <c r="U63" s="3">
        <v>130</v>
      </c>
      <c r="V63" s="3">
        <v>124</v>
      </c>
      <c r="W63" s="3">
        <v>1133</v>
      </c>
      <c r="X63" s="3">
        <v>1219</v>
      </c>
      <c r="Y63" s="3">
        <v>3605</v>
      </c>
      <c r="Z63" s="3">
        <v>4728</v>
      </c>
      <c r="AA63" s="3">
        <v>118191</v>
      </c>
      <c r="AB63" s="3">
        <v>75111</v>
      </c>
      <c r="AC63" s="3">
        <v>1237</v>
      </c>
      <c r="AD63" s="3">
        <v>1279</v>
      </c>
      <c r="AE63" s="3">
        <v>1151</v>
      </c>
      <c r="AF63" s="3">
        <v>1182</v>
      </c>
    </row>
    <row r="64" spans="3:32" s="3" customFormat="1">
      <c r="C64" s="3" t="s">
        <v>86</v>
      </c>
      <c r="D64" s="3" t="s">
        <v>87</v>
      </c>
      <c r="E64" s="3" t="s">
        <v>43</v>
      </c>
      <c r="F64" s="3" t="s">
        <v>44</v>
      </c>
      <c r="G64" s="3" t="s">
        <v>6</v>
      </c>
      <c r="H64" s="2">
        <v>46251.619765937503</v>
      </c>
      <c r="I64" s="3">
        <v>98.72</v>
      </c>
      <c r="J64" s="3" t="s">
        <v>46</v>
      </c>
      <c r="K64" s="3">
        <v>47.2</v>
      </c>
      <c r="L64" s="3">
        <v>262.3</v>
      </c>
      <c r="M64" s="3">
        <v>291.10000000000002</v>
      </c>
      <c r="N64" s="3">
        <v>0</v>
      </c>
      <c r="O64" s="3">
        <v>0</v>
      </c>
      <c r="P64" s="3">
        <v>3812</v>
      </c>
      <c r="Q64" s="3">
        <v>4497</v>
      </c>
      <c r="R64" s="3">
        <v>0.67</v>
      </c>
      <c r="S64" s="3">
        <v>1401</v>
      </c>
      <c r="T64" s="3">
        <v>1173</v>
      </c>
      <c r="U64" s="3">
        <v>0</v>
      </c>
      <c r="V64" s="3">
        <v>0</v>
      </c>
      <c r="W64" s="3">
        <v>1088</v>
      </c>
      <c r="X64" s="3">
        <v>1181</v>
      </c>
      <c r="Y64" s="3">
        <v>3841</v>
      </c>
      <c r="Z64" s="3">
        <v>4889</v>
      </c>
      <c r="AA64" s="3">
        <v>116396</v>
      </c>
      <c r="AB64" s="3">
        <v>112981</v>
      </c>
      <c r="AC64" s="3">
        <v>1171</v>
      </c>
      <c r="AD64" s="3">
        <v>1322</v>
      </c>
      <c r="AE64" s="3">
        <v>1173</v>
      </c>
      <c r="AF64" s="3">
        <v>1401</v>
      </c>
    </row>
    <row r="65" spans="1:33" s="3" customFormat="1">
      <c r="C65" s="3" t="s">
        <v>86</v>
      </c>
      <c r="D65" s="3" t="s">
        <v>87</v>
      </c>
      <c r="E65" s="3" t="s">
        <v>43</v>
      </c>
      <c r="F65" s="3" t="s">
        <v>44</v>
      </c>
      <c r="G65" s="3" t="s">
        <v>6</v>
      </c>
      <c r="H65" s="2">
        <v>46251.619765937503</v>
      </c>
      <c r="I65" s="3">
        <v>98.72</v>
      </c>
      <c r="J65" s="3" t="s">
        <v>47</v>
      </c>
      <c r="K65" s="3">
        <v>49.1</v>
      </c>
      <c r="L65" s="3">
        <v>262.10000000000002</v>
      </c>
      <c r="M65" s="3">
        <v>283.3</v>
      </c>
      <c r="N65" s="3">
        <v>0</v>
      </c>
      <c r="O65" s="3">
        <v>0</v>
      </c>
      <c r="P65" s="3">
        <v>4777</v>
      </c>
      <c r="Q65" s="3">
        <v>5018</v>
      </c>
      <c r="R65" s="3">
        <v>0.73</v>
      </c>
      <c r="S65" s="3">
        <v>1381</v>
      </c>
      <c r="T65" s="3">
        <v>1308</v>
      </c>
      <c r="U65" s="3">
        <v>6</v>
      </c>
      <c r="V65" s="3">
        <v>0</v>
      </c>
      <c r="W65" s="3">
        <v>1136</v>
      </c>
      <c r="X65" s="3">
        <v>1247</v>
      </c>
      <c r="Y65" s="3">
        <v>3398</v>
      </c>
      <c r="Z65" s="3">
        <v>3748</v>
      </c>
      <c r="AA65" s="3">
        <v>98622</v>
      </c>
      <c r="AB65" s="3">
        <v>99951</v>
      </c>
      <c r="AC65" s="3">
        <v>1308</v>
      </c>
      <c r="AD65" s="3">
        <v>1373</v>
      </c>
      <c r="AE65" s="3">
        <v>1307</v>
      </c>
      <c r="AF65" s="3">
        <v>1381</v>
      </c>
    </row>
    <row r="66" spans="1:33" s="3" customFormat="1">
      <c r="C66" s="3" t="s">
        <v>88</v>
      </c>
      <c r="D66" s="3" t="s">
        <v>89</v>
      </c>
      <c r="E66" s="3" t="s">
        <v>43</v>
      </c>
      <c r="F66" s="3" t="s">
        <v>44</v>
      </c>
      <c r="G66" s="3" t="s">
        <v>6</v>
      </c>
      <c r="H66" s="2">
        <v>46251.618908715303</v>
      </c>
      <c r="I66" s="3">
        <v>104.39</v>
      </c>
      <c r="J66" s="3" t="s">
        <v>45</v>
      </c>
      <c r="K66" s="3">
        <v>45.4</v>
      </c>
      <c r="L66" s="3">
        <v>267.5</v>
      </c>
      <c r="M66" s="3">
        <v>295.3</v>
      </c>
      <c r="N66" s="3">
        <v>759</v>
      </c>
      <c r="O66" s="3">
        <v>247</v>
      </c>
      <c r="P66" s="3">
        <v>4899</v>
      </c>
      <c r="Q66" s="3">
        <v>5492</v>
      </c>
      <c r="R66" s="3">
        <v>0.7</v>
      </c>
      <c r="S66" s="3">
        <v>1414</v>
      </c>
      <c r="T66" s="3">
        <v>1332</v>
      </c>
      <c r="U66" s="3">
        <v>156</v>
      </c>
      <c r="V66" s="3">
        <v>162</v>
      </c>
      <c r="W66" s="3">
        <v>1242</v>
      </c>
      <c r="X66" s="3">
        <v>1356</v>
      </c>
      <c r="Y66" s="3">
        <v>2554</v>
      </c>
      <c r="Z66" s="3">
        <v>3401</v>
      </c>
      <c r="AA66" s="3">
        <v>113359</v>
      </c>
      <c r="AB66" s="3">
        <v>67222</v>
      </c>
      <c r="AC66" s="3">
        <v>1332</v>
      </c>
      <c r="AD66" s="3">
        <v>1414</v>
      </c>
      <c r="AE66" s="3">
        <v>1216</v>
      </c>
      <c r="AF66" s="3">
        <v>1405</v>
      </c>
    </row>
    <row r="67" spans="1:33" s="3" customFormat="1">
      <c r="C67" s="3" t="s">
        <v>88</v>
      </c>
      <c r="D67" s="3" t="s">
        <v>89</v>
      </c>
      <c r="E67" s="3" t="s">
        <v>43</v>
      </c>
      <c r="F67" s="3" t="s">
        <v>44</v>
      </c>
      <c r="G67" s="3" t="s">
        <v>6</v>
      </c>
      <c r="H67" s="2">
        <v>46251.618908715303</v>
      </c>
      <c r="I67" s="3">
        <v>104.39</v>
      </c>
      <c r="J67" s="3" t="s">
        <v>46</v>
      </c>
      <c r="K67" s="3">
        <v>45.6</v>
      </c>
      <c r="L67" s="3">
        <v>267.8</v>
      </c>
      <c r="M67" s="3">
        <v>304.89999999999998</v>
      </c>
      <c r="N67" s="3">
        <v>-238</v>
      </c>
      <c r="O67" s="3">
        <v>280</v>
      </c>
      <c r="P67" s="3">
        <v>5369</v>
      </c>
      <c r="Q67" s="3">
        <v>4992</v>
      </c>
      <c r="R67" s="3">
        <v>0.69</v>
      </c>
      <c r="S67" s="3">
        <v>1367</v>
      </c>
      <c r="T67" s="3">
        <v>1351</v>
      </c>
      <c r="U67" s="3">
        <v>0</v>
      </c>
      <c r="V67" s="3">
        <v>176</v>
      </c>
      <c r="W67" s="3">
        <v>1176</v>
      </c>
      <c r="X67" s="3">
        <v>1316</v>
      </c>
      <c r="Y67" s="3">
        <v>3393</v>
      </c>
      <c r="Z67" s="3">
        <v>3899</v>
      </c>
      <c r="AA67" s="3">
        <v>139241</v>
      </c>
      <c r="AB67" s="3">
        <v>130517</v>
      </c>
      <c r="AC67" s="3">
        <v>1330</v>
      </c>
      <c r="AD67" s="3">
        <v>1367</v>
      </c>
      <c r="AE67" s="3">
        <v>1351</v>
      </c>
      <c r="AF67" s="3">
        <v>1319</v>
      </c>
    </row>
    <row r="68" spans="1:33" s="3" customFormat="1">
      <c r="C68" s="3" t="s">
        <v>90</v>
      </c>
      <c r="D68" s="3" t="s">
        <v>91</v>
      </c>
      <c r="E68" s="3" t="s">
        <v>43</v>
      </c>
      <c r="F68" s="3" t="s">
        <v>44</v>
      </c>
      <c r="G68" s="3" t="s">
        <v>6</v>
      </c>
      <c r="H68" s="2">
        <v>46251.618687997703</v>
      </c>
      <c r="I68" s="3">
        <v>85.46</v>
      </c>
      <c r="J68" s="3" t="s">
        <v>45</v>
      </c>
      <c r="K68" s="3">
        <v>43.6</v>
      </c>
      <c r="L68" s="3">
        <v>234.6</v>
      </c>
      <c r="M68" s="3">
        <v>226.8</v>
      </c>
      <c r="N68" s="3">
        <v>0</v>
      </c>
      <c r="O68" s="3">
        <v>0</v>
      </c>
      <c r="P68" s="3">
        <v>4074</v>
      </c>
      <c r="Q68" s="3">
        <v>4355</v>
      </c>
      <c r="R68" s="3">
        <v>0.62</v>
      </c>
      <c r="S68" s="3">
        <v>1130</v>
      </c>
      <c r="T68" s="3">
        <v>1210</v>
      </c>
      <c r="U68" s="3">
        <v>0</v>
      </c>
      <c r="V68" s="3">
        <v>0</v>
      </c>
      <c r="W68" s="3">
        <v>976</v>
      </c>
      <c r="X68" s="3">
        <v>971</v>
      </c>
      <c r="Y68" s="3">
        <v>3679</v>
      </c>
      <c r="Z68" s="3">
        <v>4550</v>
      </c>
      <c r="AA68" s="3">
        <v>379136</v>
      </c>
      <c r="AB68" s="3">
        <v>262810</v>
      </c>
      <c r="AC68" s="3">
        <v>1180</v>
      </c>
      <c r="AD68" s="3">
        <v>1117</v>
      </c>
      <c r="AE68" s="3">
        <v>1210</v>
      </c>
      <c r="AF68" s="3">
        <v>1130</v>
      </c>
    </row>
    <row r="69" spans="1:33" s="3" customFormat="1">
      <c r="C69" s="3" t="s">
        <v>90</v>
      </c>
      <c r="D69" s="3" t="s">
        <v>91</v>
      </c>
      <c r="E69" s="3" t="s">
        <v>43</v>
      </c>
      <c r="F69" s="3" t="s">
        <v>44</v>
      </c>
      <c r="G69" s="3" t="s">
        <v>6</v>
      </c>
      <c r="H69" s="2">
        <v>46251.618687997703</v>
      </c>
      <c r="I69" s="3">
        <v>85.46</v>
      </c>
      <c r="J69" s="3" t="s">
        <v>46</v>
      </c>
      <c r="K69" s="3">
        <v>46.1</v>
      </c>
      <c r="L69" s="3">
        <v>237.5</v>
      </c>
      <c r="M69" s="3">
        <v>235.5</v>
      </c>
      <c r="N69" s="3">
        <v>0</v>
      </c>
      <c r="O69" s="3">
        <v>0</v>
      </c>
      <c r="P69" s="3">
        <v>5086</v>
      </c>
      <c r="Q69" s="3">
        <v>4109</v>
      </c>
      <c r="R69" s="3">
        <v>0.69</v>
      </c>
      <c r="S69" s="3">
        <v>1094</v>
      </c>
      <c r="T69" s="3">
        <v>1248</v>
      </c>
      <c r="U69" s="3">
        <v>0</v>
      </c>
      <c r="V69" s="3">
        <v>0</v>
      </c>
      <c r="W69" s="3">
        <v>949</v>
      </c>
      <c r="X69" s="3">
        <v>992</v>
      </c>
      <c r="Y69" s="3">
        <v>1739</v>
      </c>
      <c r="Z69" s="3">
        <v>2612</v>
      </c>
      <c r="AA69" s="3">
        <v>145091</v>
      </c>
      <c r="AB69" s="3">
        <v>72472</v>
      </c>
      <c r="AC69" s="3">
        <v>1248</v>
      </c>
      <c r="AD69" s="3">
        <v>1087</v>
      </c>
      <c r="AE69" s="3">
        <v>1248</v>
      </c>
      <c r="AF69" s="3">
        <v>1094</v>
      </c>
    </row>
    <row r="70" spans="1:33" s="3" customFormat="1">
      <c r="C70" s="3" t="s">
        <v>90</v>
      </c>
      <c r="D70" s="3" t="s">
        <v>91</v>
      </c>
      <c r="E70" s="3" t="s">
        <v>43</v>
      </c>
      <c r="F70" s="3" t="s">
        <v>44</v>
      </c>
      <c r="G70" s="3" t="s">
        <v>6</v>
      </c>
      <c r="H70" s="2">
        <v>46251.618687997703</v>
      </c>
      <c r="I70" s="3">
        <v>85.46</v>
      </c>
      <c r="J70" s="3" t="s">
        <v>47</v>
      </c>
      <c r="K70" s="3">
        <v>45</v>
      </c>
      <c r="L70" s="3">
        <v>237.8</v>
      </c>
      <c r="M70" s="3">
        <v>234.2</v>
      </c>
      <c r="N70" s="3">
        <v>0</v>
      </c>
      <c r="O70" s="3">
        <v>0</v>
      </c>
      <c r="P70" s="3">
        <v>4135</v>
      </c>
      <c r="Q70" s="3">
        <v>3560</v>
      </c>
      <c r="R70" s="3">
        <v>0.64</v>
      </c>
      <c r="S70" s="3">
        <v>1228</v>
      </c>
      <c r="T70" s="3">
        <v>1165</v>
      </c>
      <c r="U70" s="3">
        <v>0</v>
      </c>
      <c r="V70" s="3">
        <v>0</v>
      </c>
      <c r="W70" s="3">
        <v>911</v>
      </c>
      <c r="X70" s="3">
        <v>903</v>
      </c>
      <c r="Y70" s="3">
        <v>4527</v>
      </c>
      <c r="Z70" s="3">
        <v>2191</v>
      </c>
      <c r="AA70" s="3">
        <v>121702</v>
      </c>
      <c r="AB70" s="3">
        <v>282959</v>
      </c>
      <c r="AC70" s="3">
        <v>1162</v>
      </c>
      <c r="AD70" s="3">
        <v>1211</v>
      </c>
      <c r="AE70" s="3">
        <v>1165</v>
      </c>
      <c r="AF70" s="3">
        <v>1228</v>
      </c>
    </row>
    <row r="71" spans="1:33">
      <c r="A71" s="3"/>
      <c r="B71" s="3"/>
      <c r="C71" s="3" t="s">
        <v>92</v>
      </c>
      <c r="D71" s="3" t="s">
        <v>93</v>
      </c>
      <c r="E71" s="3" t="s">
        <v>43</v>
      </c>
      <c r="F71" s="3" t="s">
        <v>44</v>
      </c>
      <c r="G71" s="3" t="s">
        <v>6</v>
      </c>
      <c r="H71" s="2">
        <v>46251.655853703698</v>
      </c>
      <c r="I71" s="3">
        <v>102.03</v>
      </c>
      <c r="J71" s="3" t="s">
        <v>45</v>
      </c>
      <c r="K71" s="3">
        <v>35.4</v>
      </c>
      <c r="L71" s="3">
        <v>239.9</v>
      </c>
      <c r="M71" s="3">
        <v>244.9</v>
      </c>
      <c r="N71" s="3">
        <v>1162</v>
      </c>
      <c r="O71" s="3">
        <v>-149</v>
      </c>
      <c r="P71" s="3">
        <v>4833</v>
      </c>
      <c r="Q71" s="3">
        <v>4564</v>
      </c>
      <c r="R71" s="3">
        <v>0.56000000000000005</v>
      </c>
      <c r="S71" s="3">
        <v>1378</v>
      </c>
      <c r="T71" s="3">
        <v>1322</v>
      </c>
      <c r="U71" s="3">
        <v>90</v>
      </c>
      <c r="V71" s="3">
        <v>24</v>
      </c>
      <c r="W71" s="3">
        <v>1178</v>
      </c>
      <c r="X71" s="3">
        <v>1172</v>
      </c>
      <c r="Y71" s="3">
        <v>6605</v>
      </c>
      <c r="Z71" s="3">
        <v>6320</v>
      </c>
      <c r="AA71" s="3">
        <v>451397</v>
      </c>
      <c r="AB71" s="3">
        <v>471780</v>
      </c>
      <c r="AC71" s="3">
        <v>1322</v>
      </c>
      <c r="AD71" s="3">
        <v>1378</v>
      </c>
      <c r="AE71" s="3">
        <v>1231</v>
      </c>
      <c r="AF71" s="3">
        <v>1360</v>
      </c>
      <c r="AG71" s="3"/>
    </row>
    <row r="72" spans="1:33">
      <c r="A72" s="3"/>
      <c r="B72" s="3"/>
      <c r="C72" s="3" t="s">
        <v>92</v>
      </c>
      <c r="D72" s="3" t="s">
        <v>93</v>
      </c>
      <c r="E72" s="3" t="s">
        <v>43</v>
      </c>
      <c r="F72" s="3" t="s">
        <v>44</v>
      </c>
      <c r="G72" s="3" t="s">
        <v>6</v>
      </c>
      <c r="H72" s="2">
        <v>46251.654947256902</v>
      </c>
      <c r="I72" s="3">
        <v>102.4</v>
      </c>
      <c r="J72" s="3" t="s">
        <v>45</v>
      </c>
      <c r="K72" s="3">
        <v>35.5</v>
      </c>
      <c r="L72" s="3">
        <v>244.7</v>
      </c>
      <c r="M72" s="3">
        <v>247.2</v>
      </c>
      <c r="N72" s="3">
        <v>1333</v>
      </c>
      <c r="O72" s="3">
        <v>0</v>
      </c>
      <c r="P72" s="3">
        <v>5879</v>
      </c>
      <c r="Q72" s="3">
        <v>4639</v>
      </c>
      <c r="R72" s="3">
        <v>0.61</v>
      </c>
      <c r="S72" s="3">
        <v>1316</v>
      </c>
      <c r="T72" s="3">
        <v>1376</v>
      </c>
      <c r="U72" s="3">
        <v>6</v>
      </c>
      <c r="V72" s="3">
        <v>4</v>
      </c>
      <c r="W72" s="3">
        <v>1175</v>
      </c>
      <c r="X72" s="3">
        <v>1193</v>
      </c>
      <c r="Y72" s="3">
        <v>2429</v>
      </c>
      <c r="Z72" s="3">
        <v>4186</v>
      </c>
      <c r="AA72" s="3">
        <v>298969</v>
      </c>
      <c r="AB72" s="3">
        <v>33735</v>
      </c>
      <c r="AC72" s="3">
        <v>1376</v>
      </c>
      <c r="AD72" s="3">
        <v>1316</v>
      </c>
      <c r="AE72" s="3">
        <v>1369</v>
      </c>
      <c r="AF72" s="3">
        <v>1316</v>
      </c>
      <c r="AG72" s="3"/>
    </row>
    <row r="73" spans="1:33">
      <c r="A73" s="3"/>
      <c r="B73" s="3"/>
      <c r="C73" s="3" t="s">
        <v>94</v>
      </c>
      <c r="D73" s="3" t="s">
        <v>95</v>
      </c>
      <c r="E73" s="3" t="s">
        <v>43</v>
      </c>
      <c r="F73" s="3" t="s">
        <v>44</v>
      </c>
      <c r="G73" s="3" t="s">
        <v>6</v>
      </c>
      <c r="H73" s="2">
        <v>46251.6545136227</v>
      </c>
      <c r="I73" s="3">
        <v>94.61</v>
      </c>
      <c r="J73" s="3" t="s">
        <v>45</v>
      </c>
      <c r="K73" s="3">
        <v>41.6</v>
      </c>
      <c r="L73" s="3">
        <v>231.7</v>
      </c>
      <c r="M73" s="3">
        <v>223.3</v>
      </c>
      <c r="N73" s="3">
        <v>-62</v>
      </c>
      <c r="O73" s="3">
        <v>1812</v>
      </c>
      <c r="P73" s="3">
        <v>6472</v>
      </c>
      <c r="Q73" s="3">
        <v>5914</v>
      </c>
      <c r="R73" s="3">
        <v>0.74</v>
      </c>
      <c r="S73" s="3">
        <v>1380</v>
      </c>
      <c r="T73" s="3">
        <v>1431</v>
      </c>
      <c r="U73" s="3">
        <v>0</v>
      </c>
      <c r="V73" s="3">
        <v>26</v>
      </c>
      <c r="W73" s="3">
        <v>1164</v>
      </c>
      <c r="X73" s="3">
        <v>1168</v>
      </c>
      <c r="Y73" s="3">
        <v>3691</v>
      </c>
      <c r="Z73" s="3">
        <v>5120</v>
      </c>
      <c r="AA73" s="3">
        <v>213353</v>
      </c>
      <c r="AB73" s="3">
        <v>115329</v>
      </c>
      <c r="AC73" s="3">
        <v>1431</v>
      </c>
      <c r="AD73" s="3">
        <v>1380</v>
      </c>
      <c r="AE73" s="3">
        <v>1431</v>
      </c>
      <c r="AF73" s="3">
        <v>1344</v>
      </c>
      <c r="AG73" s="3"/>
    </row>
    <row r="74" spans="1:33">
      <c r="A74" s="3"/>
      <c r="B74" s="3"/>
      <c r="C74" s="3" t="s">
        <v>94</v>
      </c>
      <c r="D74" s="3" t="s">
        <v>95</v>
      </c>
      <c r="E74" s="3" t="s">
        <v>43</v>
      </c>
      <c r="F74" s="3" t="s">
        <v>44</v>
      </c>
      <c r="G74" s="3" t="s">
        <v>6</v>
      </c>
      <c r="H74" s="2">
        <v>46251.6545136227</v>
      </c>
      <c r="I74" s="3">
        <v>94.61</v>
      </c>
      <c r="J74" s="3" t="s">
        <v>46</v>
      </c>
      <c r="K74" s="3">
        <v>44.9</v>
      </c>
      <c r="L74" s="3">
        <v>238.9</v>
      </c>
      <c r="M74" s="3">
        <v>233.4</v>
      </c>
      <c r="N74" s="3">
        <v>0</v>
      </c>
      <c r="O74" s="3">
        <v>1000</v>
      </c>
      <c r="P74" s="3">
        <v>6718</v>
      </c>
      <c r="Q74" s="3">
        <v>6464</v>
      </c>
      <c r="R74" s="3">
        <v>0.77</v>
      </c>
      <c r="S74" s="3">
        <v>1453</v>
      </c>
      <c r="T74" s="3">
        <v>1537</v>
      </c>
      <c r="U74" s="3">
        <v>0</v>
      </c>
      <c r="V74" s="3">
        <v>2</v>
      </c>
      <c r="W74" s="3">
        <v>1114</v>
      </c>
      <c r="X74" s="3">
        <v>1161</v>
      </c>
      <c r="Y74" s="3">
        <v>3801</v>
      </c>
      <c r="Z74" s="3">
        <v>4631</v>
      </c>
      <c r="AA74" s="3">
        <v>178134</v>
      </c>
      <c r="AB74" s="3">
        <v>135733</v>
      </c>
      <c r="AC74" s="3">
        <v>1523</v>
      </c>
      <c r="AD74" s="3">
        <v>1449</v>
      </c>
      <c r="AE74" s="3">
        <v>1537</v>
      </c>
      <c r="AF74" s="3">
        <v>1453</v>
      </c>
      <c r="AG74" s="3"/>
    </row>
    <row r="75" spans="1:33">
      <c r="A75" s="3"/>
      <c r="B75" s="3"/>
      <c r="C75" s="3" t="s">
        <v>94</v>
      </c>
      <c r="D75" s="3" t="s">
        <v>95</v>
      </c>
      <c r="E75" s="3" t="s">
        <v>43</v>
      </c>
      <c r="F75" s="3" t="s">
        <v>44</v>
      </c>
      <c r="G75" s="3" t="s">
        <v>6</v>
      </c>
      <c r="H75" s="2">
        <v>46251.6545136227</v>
      </c>
      <c r="I75" s="3">
        <v>94.61</v>
      </c>
      <c r="J75" s="3" t="s">
        <v>47</v>
      </c>
      <c r="K75" s="3">
        <v>45.2</v>
      </c>
      <c r="L75" s="3">
        <v>232.6</v>
      </c>
      <c r="M75" s="3">
        <v>232.3</v>
      </c>
      <c r="N75" s="3">
        <v>1500</v>
      </c>
      <c r="O75" s="3">
        <v>0</v>
      </c>
      <c r="P75" s="3">
        <v>6841</v>
      </c>
      <c r="Q75" s="3">
        <v>6569</v>
      </c>
      <c r="R75" s="3">
        <v>0.78</v>
      </c>
      <c r="S75" s="3">
        <v>1482</v>
      </c>
      <c r="T75" s="3">
        <v>1532</v>
      </c>
      <c r="U75" s="3">
        <v>2</v>
      </c>
      <c r="V75" s="3">
        <v>0</v>
      </c>
      <c r="W75" s="3">
        <v>1168</v>
      </c>
      <c r="X75" s="3">
        <v>1236</v>
      </c>
      <c r="Y75" s="3">
        <v>2932</v>
      </c>
      <c r="Z75" s="3">
        <v>4278</v>
      </c>
      <c r="AA75" s="3">
        <v>194477</v>
      </c>
      <c r="AB75" s="3">
        <v>104697</v>
      </c>
      <c r="AC75" s="3">
        <v>1524</v>
      </c>
      <c r="AD75" s="3">
        <v>1482</v>
      </c>
      <c r="AE75" s="3">
        <v>1532</v>
      </c>
      <c r="AF75" s="3">
        <v>1482</v>
      </c>
      <c r="AG75" s="3"/>
    </row>
    <row r="76" spans="1:33">
      <c r="A76" s="3"/>
      <c r="B76" s="3"/>
      <c r="C76" s="3" t="s">
        <v>96</v>
      </c>
      <c r="D76" s="3" t="s">
        <v>97</v>
      </c>
      <c r="E76" s="3" t="s">
        <v>43</v>
      </c>
      <c r="F76" s="3" t="s">
        <v>44</v>
      </c>
      <c r="G76" s="3" t="s">
        <v>6</v>
      </c>
      <c r="H76" s="2">
        <v>46251.649906053201</v>
      </c>
      <c r="I76" s="3">
        <v>87.72</v>
      </c>
      <c r="J76" s="3" t="s">
        <v>45</v>
      </c>
      <c r="K76" s="3">
        <v>47.3</v>
      </c>
      <c r="L76" s="3">
        <v>237.5</v>
      </c>
      <c r="M76" s="3">
        <v>228.7</v>
      </c>
      <c r="N76" s="3">
        <v>306</v>
      </c>
      <c r="O76" s="3">
        <v>2361</v>
      </c>
      <c r="P76" s="3">
        <v>5051</v>
      </c>
      <c r="Q76" s="3">
        <v>4303</v>
      </c>
      <c r="R76" s="3">
        <v>0.68</v>
      </c>
      <c r="S76" s="3">
        <v>1185</v>
      </c>
      <c r="T76" s="3">
        <v>1230</v>
      </c>
      <c r="U76" s="3">
        <v>18</v>
      </c>
      <c r="V76" s="3">
        <v>58</v>
      </c>
      <c r="W76" s="3">
        <v>1050</v>
      </c>
      <c r="X76" s="3">
        <v>1034</v>
      </c>
      <c r="Y76" s="3">
        <v>6693</v>
      </c>
      <c r="Z76" s="3">
        <v>5249</v>
      </c>
      <c r="AA76" s="3">
        <v>328074</v>
      </c>
      <c r="AB76" s="3">
        <v>836628</v>
      </c>
      <c r="AC76" s="3">
        <v>1230</v>
      </c>
      <c r="AD76" s="3">
        <v>1185</v>
      </c>
      <c r="AE76" s="3">
        <v>1211</v>
      </c>
      <c r="AF76" s="3">
        <v>1087</v>
      </c>
      <c r="AG76" s="3"/>
    </row>
    <row r="77" spans="1:33">
      <c r="A77" s="3"/>
      <c r="B77" s="3"/>
      <c r="C77" s="3" t="s">
        <v>96</v>
      </c>
      <c r="D77" s="3" t="s">
        <v>97</v>
      </c>
      <c r="E77" s="3" t="s">
        <v>43</v>
      </c>
      <c r="F77" s="3" t="s">
        <v>44</v>
      </c>
      <c r="G77" s="3" t="s">
        <v>6</v>
      </c>
      <c r="H77" s="2">
        <v>46251.649906053201</v>
      </c>
      <c r="I77" s="3">
        <v>87.72</v>
      </c>
      <c r="J77" s="3" t="s">
        <v>46</v>
      </c>
      <c r="K77" s="3">
        <v>49.3</v>
      </c>
      <c r="L77" s="3">
        <v>236.4</v>
      </c>
      <c r="M77" s="3">
        <v>243.9</v>
      </c>
      <c r="N77" s="3">
        <v>125</v>
      </c>
      <c r="O77" s="3">
        <v>1375</v>
      </c>
      <c r="P77" s="3">
        <v>4241</v>
      </c>
      <c r="Q77" s="3">
        <v>4453</v>
      </c>
      <c r="R77" s="3">
        <v>0.68</v>
      </c>
      <c r="S77" s="3">
        <v>1241</v>
      </c>
      <c r="T77" s="3">
        <v>1188</v>
      </c>
      <c r="U77" s="3">
        <v>4</v>
      </c>
      <c r="V77" s="3">
        <v>18</v>
      </c>
      <c r="W77" s="3">
        <v>1002</v>
      </c>
      <c r="X77" s="3">
        <v>1032</v>
      </c>
      <c r="Y77" s="3">
        <v>4170</v>
      </c>
      <c r="Z77" s="3">
        <v>4574</v>
      </c>
      <c r="AA77" s="3">
        <v>254122</v>
      </c>
      <c r="AB77" s="3">
        <v>260626</v>
      </c>
      <c r="AC77" s="3">
        <v>1188</v>
      </c>
      <c r="AD77" s="3">
        <v>1241</v>
      </c>
      <c r="AE77" s="3">
        <v>1185</v>
      </c>
      <c r="AF77" s="3">
        <v>1218</v>
      </c>
      <c r="AG77" s="3"/>
    </row>
    <row r="78" spans="1:33">
      <c r="A78" s="3"/>
      <c r="B78" s="3"/>
      <c r="C78" s="3" t="s">
        <v>98</v>
      </c>
      <c r="D78" s="3" t="s">
        <v>99</v>
      </c>
      <c r="E78" s="3" t="s">
        <v>43</v>
      </c>
      <c r="F78" s="3" t="s">
        <v>44</v>
      </c>
      <c r="G78" s="3" t="s">
        <v>6</v>
      </c>
      <c r="H78" s="2">
        <v>46251.649390243103</v>
      </c>
      <c r="I78" s="3">
        <v>93.59</v>
      </c>
      <c r="J78" s="3" t="s">
        <v>45</v>
      </c>
      <c r="K78" s="3">
        <v>41.5</v>
      </c>
      <c r="L78" s="3">
        <v>244.2</v>
      </c>
      <c r="M78" s="3">
        <v>254.1</v>
      </c>
      <c r="N78" s="3">
        <v>949</v>
      </c>
      <c r="O78" s="3">
        <v>-45</v>
      </c>
      <c r="P78" s="3">
        <v>2741</v>
      </c>
      <c r="Q78" s="3">
        <v>3772</v>
      </c>
      <c r="R78" s="3">
        <v>0.56999999999999995</v>
      </c>
      <c r="S78" s="3">
        <v>1197</v>
      </c>
      <c r="T78" s="3">
        <v>1150</v>
      </c>
      <c r="U78" s="3">
        <v>162</v>
      </c>
      <c r="V78" s="3">
        <v>0</v>
      </c>
      <c r="W78" s="3">
        <v>1100</v>
      </c>
      <c r="X78" s="3">
        <v>1114</v>
      </c>
      <c r="Y78" s="3">
        <v>2263</v>
      </c>
      <c r="Z78" s="3">
        <v>2203</v>
      </c>
      <c r="AA78" s="3">
        <v>57976</v>
      </c>
      <c r="AB78" s="3">
        <v>47141</v>
      </c>
      <c r="AC78" s="3">
        <v>1150</v>
      </c>
      <c r="AD78" s="3">
        <v>1196</v>
      </c>
      <c r="AE78" s="3">
        <v>998</v>
      </c>
      <c r="AF78" s="3">
        <v>1197</v>
      </c>
      <c r="AG78" s="3"/>
    </row>
    <row r="79" spans="1:33">
      <c r="A79" s="3"/>
      <c r="B79" s="3"/>
      <c r="C79" s="3" t="s">
        <v>100</v>
      </c>
      <c r="D79" s="3" t="s">
        <v>101</v>
      </c>
      <c r="E79" s="3" t="s">
        <v>43</v>
      </c>
      <c r="F79" s="3" t="s">
        <v>44</v>
      </c>
      <c r="G79" s="3" t="s">
        <v>6</v>
      </c>
      <c r="H79" s="2">
        <v>46251.649002233797</v>
      </c>
      <c r="I79" s="3">
        <v>89.26</v>
      </c>
      <c r="J79" s="3" t="s">
        <v>45</v>
      </c>
      <c r="K79" s="3">
        <v>44.8</v>
      </c>
      <c r="L79" s="3">
        <v>228.9</v>
      </c>
      <c r="M79" s="3">
        <v>218.2</v>
      </c>
      <c r="N79" s="3">
        <v>250</v>
      </c>
      <c r="O79" s="3">
        <v>2625</v>
      </c>
      <c r="P79" s="3">
        <v>5845</v>
      </c>
      <c r="Q79" s="3">
        <v>5803</v>
      </c>
      <c r="R79" s="3">
        <v>0.75</v>
      </c>
      <c r="S79" s="3">
        <v>1342</v>
      </c>
      <c r="T79" s="3">
        <v>1322</v>
      </c>
      <c r="U79" s="3">
        <v>52</v>
      </c>
      <c r="V79" s="3">
        <v>14</v>
      </c>
      <c r="W79" s="3">
        <v>1167</v>
      </c>
      <c r="X79" s="3">
        <v>1100</v>
      </c>
      <c r="Y79" s="3">
        <v>3041</v>
      </c>
      <c r="Z79" s="3">
        <v>2663</v>
      </c>
      <c r="AA79" s="3">
        <v>60527</v>
      </c>
      <c r="AB79" s="3">
        <v>72405</v>
      </c>
      <c r="AC79" s="3">
        <v>1322</v>
      </c>
      <c r="AD79" s="3">
        <v>1342</v>
      </c>
      <c r="AE79" s="3">
        <v>1301</v>
      </c>
      <c r="AF79" s="3">
        <v>1300</v>
      </c>
      <c r="AG79" s="3"/>
    </row>
    <row r="80" spans="1:33">
      <c r="A80" s="3"/>
      <c r="B80" s="3"/>
      <c r="C80" s="3" t="s">
        <v>100</v>
      </c>
      <c r="D80" s="3" t="s">
        <v>101</v>
      </c>
      <c r="E80" s="3" t="s">
        <v>43</v>
      </c>
      <c r="F80" s="3" t="s">
        <v>44</v>
      </c>
      <c r="G80" s="3" t="s">
        <v>6</v>
      </c>
      <c r="H80" s="2">
        <v>46251.649002233797</v>
      </c>
      <c r="I80" s="3">
        <v>89.26</v>
      </c>
      <c r="J80" s="3" t="s">
        <v>46</v>
      </c>
      <c r="K80" s="3">
        <v>45.3</v>
      </c>
      <c r="L80" s="3">
        <v>213.6</v>
      </c>
      <c r="M80" s="3">
        <v>220.6</v>
      </c>
      <c r="N80" s="3">
        <v>1786</v>
      </c>
      <c r="O80" s="3">
        <v>71</v>
      </c>
      <c r="P80" s="3">
        <v>5914</v>
      </c>
      <c r="Q80" s="3">
        <v>6776</v>
      </c>
      <c r="R80" s="3">
        <v>0.8</v>
      </c>
      <c r="S80" s="3">
        <v>1476</v>
      </c>
      <c r="T80" s="3">
        <v>1359</v>
      </c>
      <c r="U80" s="3">
        <v>34</v>
      </c>
      <c r="V80" s="3">
        <v>8</v>
      </c>
      <c r="W80" s="3">
        <v>1119</v>
      </c>
      <c r="X80" s="3">
        <v>1143</v>
      </c>
      <c r="Y80" s="3">
        <v>3880</v>
      </c>
      <c r="Z80" s="3">
        <v>3444</v>
      </c>
      <c r="AA80" s="3">
        <v>78277</v>
      </c>
      <c r="AB80" s="3">
        <v>97001</v>
      </c>
      <c r="AC80" s="3">
        <v>1359</v>
      </c>
      <c r="AD80" s="3">
        <v>1476</v>
      </c>
      <c r="AE80" s="3">
        <v>1327</v>
      </c>
      <c r="AF80" s="3">
        <v>1472</v>
      </c>
      <c r="AG80" s="3"/>
    </row>
    <row r="81" spans="1:33">
      <c r="A81" s="3"/>
      <c r="B81" s="3"/>
      <c r="C81" s="3" t="s">
        <v>102</v>
      </c>
      <c r="D81" s="3" t="s">
        <v>103</v>
      </c>
      <c r="E81" s="3" t="s">
        <v>43</v>
      </c>
      <c r="F81" s="3" t="s">
        <v>44</v>
      </c>
      <c r="G81" s="3" t="s">
        <v>6</v>
      </c>
      <c r="H81" s="2">
        <v>46251.647559293997</v>
      </c>
      <c r="I81" s="3">
        <v>84.55</v>
      </c>
      <c r="J81" s="3" t="s">
        <v>45</v>
      </c>
      <c r="K81" s="3">
        <v>45</v>
      </c>
      <c r="L81" s="3">
        <v>241.4</v>
      </c>
      <c r="M81" s="3">
        <v>245.1</v>
      </c>
      <c r="N81" s="3">
        <v>0</v>
      </c>
      <c r="O81" s="3">
        <v>0</v>
      </c>
      <c r="P81" s="3">
        <v>2751</v>
      </c>
      <c r="Q81" s="3">
        <v>2713</v>
      </c>
      <c r="R81" s="3">
        <v>0.56999999999999995</v>
      </c>
      <c r="S81" s="3">
        <v>1000</v>
      </c>
      <c r="T81" s="3">
        <v>1035</v>
      </c>
      <c r="U81" s="3">
        <v>0</v>
      </c>
      <c r="V81" s="3">
        <v>8</v>
      </c>
      <c r="W81" s="3">
        <v>922</v>
      </c>
      <c r="X81" s="3">
        <v>956</v>
      </c>
      <c r="Y81" s="3">
        <v>4455</v>
      </c>
      <c r="Z81" s="3">
        <v>4668</v>
      </c>
      <c r="AA81" s="3">
        <v>389016</v>
      </c>
      <c r="AB81" s="3">
        <v>318216</v>
      </c>
      <c r="AC81" s="3">
        <v>1033</v>
      </c>
      <c r="AD81" s="3">
        <v>999</v>
      </c>
      <c r="AE81" s="3">
        <v>1035</v>
      </c>
      <c r="AF81" s="3">
        <v>1000</v>
      </c>
      <c r="AG81" s="3"/>
    </row>
    <row r="82" spans="1:33">
      <c r="A82" s="3"/>
      <c r="B82" s="3"/>
      <c r="C82" s="3" t="s">
        <v>102</v>
      </c>
      <c r="D82" s="3" t="s">
        <v>103</v>
      </c>
      <c r="E82" s="3" t="s">
        <v>43</v>
      </c>
      <c r="F82" s="3" t="s">
        <v>44</v>
      </c>
      <c r="G82" s="3" t="s">
        <v>6</v>
      </c>
      <c r="H82" s="2">
        <v>46251.647559293997</v>
      </c>
      <c r="I82" s="3">
        <v>84.55</v>
      </c>
      <c r="J82" s="3" t="s">
        <v>46</v>
      </c>
      <c r="K82" s="3">
        <v>45.3</v>
      </c>
      <c r="L82" s="3">
        <v>237.1</v>
      </c>
      <c r="M82" s="3">
        <v>242.7</v>
      </c>
      <c r="N82" s="3">
        <v>600</v>
      </c>
      <c r="O82" s="3">
        <v>600</v>
      </c>
      <c r="P82" s="3">
        <v>2545</v>
      </c>
      <c r="Q82" s="3">
        <v>2693</v>
      </c>
      <c r="R82" s="3">
        <v>0.56999999999999995</v>
      </c>
      <c r="S82" s="3">
        <v>1014</v>
      </c>
      <c r="T82" s="3">
        <v>1017</v>
      </c>
      <c r="U82" s="3">
        <v>12</v>
      </c>
      <c r="V82" s="3">
        <v>184</v>
      </c>
      <c r="W82" s="3">
        <v>918</v>
      </c>
      <c r="X82" s="3">
        <v>956</v>
      </c>
      <c r="Y82" s="3">
        <v>4616</v>
      </c>
      <c r="Z82" s="3">
        <v>3789</v>
      </c>
      <c r="AA82" s="3">
        <v>270656</v>
      </c>
      <c r="AB82" s="3">
        <v>461602</v>
      </c>
      <c r="AC82" s="3">
        <v>1017</v>
      </c>
      <c r="AD82" s="3">
        <v>1014</v>
      </c>
      <c r="AE82" s="3">
        <v>1010</v>
      </c>
      <c r="AF82" s="3">
        <v>994</v>
      </c>
      <c r="AG82" s="3"/>
    </row>
    <row r="83" spans="1:33">
      <c r="A83" s="3"/>
      <c r="B83" s="3"/>
      <c r="C83" s="3" t="s">
        <v>104</v>
      </c>
      <c r="D83" s="3" t="s">
        <v>105</v>
      </c>
      <c r="E83" s="3" t="s">
        <v>43</v>
      </c>
      <c r="F83" s="3" t="s">
        <v>44</v>
      </c>
      <c r="G83" s="3" t="s">
        <v>6</v>
      </c>
      <c r="H83" s="2">
        <v>46251.644072303199</v>
      </c>
      <c r="I83" s="3">
        <v>83.36</v>
      </c>
      <c r="J83" s="3" t="s">
        <v>45</v>
      </c>
      <c r="K83" s="3">
        <v>28.4</v>
      </c>
      <c r="L83" s="3">
        <v>179.2</v>
      </c>
      <c r="M83" s="3">
        <v>189.6</v>
      </c>
      <c r="N83" s="3">
        <v>1647</v>
      </c>
      <c r="O83" s="3">
        <v>1088</v>
      </c>
      <c r="P83" s="3">
        <v>4183</v>
      </c>
      <c r="Q83" s="3">
        <v>4269</v>
      </c>
      <c r="R83" s="3">
        <v>0.44</v>
      </c>
      <c r="S83" s="3">
        <v>1183</v>
      </c>
      <c r="T83" s="3">
        <v>1113</v>
      </c>
      <c r="U83" s="3">
        <v>46</v>
      </c>
      <c r="V83" s="3">
        <v>32</v>
      </c>
      <c r="W83" s="3">
        <v>871</v>
      </c>
      <c r="X83" s="3">
        <v>909</v>
      </c>
      <c r="Y83" s="3">
        <v>1579</v>
      </c>
      <c r="Z83" s="3">
        <v>1854</v>
      </c>
      <c r="AA83" s="3">
        <v>31969</v>
      </c>
      <c r="AB83" s="3">
        <v>31580</v>
      </c>
      <c r="AC83" s="3">
        <v>1113</v>
      </c>
      <c r="AD83" s="3">
        <v>1183</v>
      </c>
      <c r="AE83" s="3">
        <v>1054</v>
      </c>
      <c r="AF83" s="3">
        <v>1146</v>
      </c>
      <c r="AG83" s="3"/>
    </row>
    <row r="84" spans="1:33">
      <c r="A84" s="3"/>
      <c r="B84" s="3"/>
      <c r="C84" s="3" t="s">
        <v>104</v>
      </c>
      <c r="D84" s="3" t="s">
        <v>105</v>
      </c>
      <c r="E84" s="3" t="s">
        <v>43</v>
      </c>
      <c r="F84" s="3" t="s">
        <v>44</v>
      </c>
      <c r="G84" s="3" t="s">
        <v>6</v>
      </c>
      <c r="H84" s="2">
        <v>46251.644072303199</v>
      </c>
      <c r="I84" s="3">
        <v>83.36</v>
      </c>
      <c r="J84" s="3" t="s">
        <v>46</v>
      </c>
      <c r="K84" s="3">
        <v>26.9</v>
      </c>
      <c r="L84" s="3">
        <v>184.8</v>
      </c>
      <c r="M84" s="3">
        <v>186.1</v>
      </c>
      <c r="N84" s="3">
        <v>0</v>
      </c>
      <c r="O84" s="3">
        <v>0</v>
      </c>
      <c r="P84" s="3">
        <v>5448</v>
      </c>
      <c r="Q84" s="3">
        <v>5722</v>
      </c>
      <c r="R84" s="3">
        <v>0.43</v>
      </c>
      <c r="S84" s="3">
        <v>1302</v>
      </c>
      <c r="T84" s="3">
        <v>1275</v>
      </c>
      <c r="U84" s="3">
        <v>0</v>
      </c>
      <c r="V84" s="3">
        <v>0</v>
      </c>
      <c r="W84" s="3">
        <v>815</v>
      </c>
      <c r="X84" s="3">
        <v>807</v>
      </c>
      <c r="Y84" s="3">
        <v>2182</v>
      </c>
      <c r="Z84" s="3">
        <v>2695</v>
      </c>
      <c r="AA84" s="3">
        <v>67380</v>
      </c>
      <c r="AB84" s="3">
        <v>43640</v>
      </c>
      <c r="AC84" s="3">
        <v>1204</v>
      </c>
      <c r="AD84" s="3">
        <v>1254</v>
      </c>
      <c r="AE84" s="3">
        <v>1275</v>
      </c>
      <c r="AF84" s="3">
        <v>1302</v>
      </c>
      <c r="AG84" s="3"/>
    </row>
    <row r="85" spans="1:33">
      <c r="A85" s="3"/>
      <c r="B85" s="3"/>
      <c r="C85" s="3" t="s">
        <v>104</v>
      </c>
      <c r="D85" s="3" t="s">
        <v>105</v>
      </c>
      <c r="E85" s="3" t="s">
        <v>43</v>
      </c>
      <c r="F85" s="3" t="s">
        <v>44</v>
      </c>
      <c r="G85" s="3" t="s">
        <v>6</v>
      </c>
      <c r="H85" s="2">
        <v>46251.644072303199</v>
      </c>
      <c r="I85" s="3">
        <v>83.36</v>
      </c>
      <c r="J85" s="3" t="s">
        <v>47</v>
      </c>
      <c r="K85" s="3">
        <v>27.9</v>
      </c>
      <c r="L85" s="3">
        <v>178.9</v>
      </c>
      <c r="M85" s="3">
        <v>178.6</v>
      </c>
      <c r="N85" s="3">
        <v>1471</v>
      </c>
      <c r="O85" s="3">
        <v>382</v>
      </c>
      <c r="P85" s="3">
        <v>4422</v>
      </c>
      <c r="Q85" s="3">
        <v>4595</v>
      </c>
      <c r="R85" s="3">
        <v>0.46</v>
      </c>
      <c r="S85" s="3">
        <v>1177</v>
      </c>
      <c r="T85" s="3">
        <v>1156</v>
      </c>
      <c r="U85" s="3">
        <v>56</v>
      </c>
      <c r="V85" s="3">
        <v>32</v>
      </c>
      <c r="W85" s="3">
        <v>936</v>
      </c>
      <c r="X85" s="3">
        <v>917</v>
      </c>
      <c r="Y85" s="3">
        <v>2291</v>
      </c>
      <c r="Z85" s="3">
        <v>1972</v>
      </c>
      <c r="AA85" s="3">
        <v>30815</v>
      </c>
      <c r="AB85" s="3">
        <v>39500</v>
      </c>
      <c r="AC85" s="3">
        <v>1156</v>
      </c>
      <c r="AD85" s="3">
        <v>1177</v>
      </c>
      <c r="AE85" s="3">
        <v>1099</v>
      </c>
      <c r="AF85" s="3">
        <v>1164</v>
      </c>
      <c r="AG85" s="3"/>
    </row>
    <row r="86" spans="1:33">
      <c r="A86" s="3"/>
      <c r="B86" s="3"/>
      <c r="C86" s="3" t="s">
        <v>106</v>
      </c>
      <c r="D86" s="3" t="s">
        <v>107</v>
      </c>
      <c r="E86" s="3" t="s">
        <v>43</v>
      </c>
      <c r="F86" s="3" t="s">
        <v>44</v>
      </c>
      <c r="G86" s="3" t="s">
        <v>6</v>
      </c>
      <c r="H86" s="2">
        <v>46251.640025844899</v>
      </c>
      <c r="I86" s="3">
        <v>101.22</v>
      </c>
      <c r="J86" s="3" t="s">
        <v>45</v>
      </c>
      <c r="K86" s="3">
        <v>41.4</v>
      </c>
      <c r="L86" s="3">
        <v>265.2</v>
      </c>
      <c r="M86" s="3">
        <v>260.60000000000002</v>
      </c>
      <c r="N86" s="3">
        <v>1826</v>
      </c>
      <c r="O86" s="3">
        <v>1356</v>
      </c>
      <c r="P86" s="3">
        <v>3848</v>
      </c>
      <c r="Q86" s="3">
        <v>4226</v>
      </c>
      <c r="R86" s="3">
        <v>0.61</v>
      </c>
      <c r="S86" s="3">
        <v>1327</v>
      </c>
      <c r="T86" s="3">
        <v>1363</v>
      </c>
      <c r="U86" s="3">
        <v>132</v>
      </c>
      <c r="V86" s="3">
        <v>136</v>
      </c>
      <c r="W86" s="3">
        <v>1238</v>
      </c>
      <c r="X86" s="3">
        <v>1240</v>
      </c>
      <c r="Y86" s="3">
        <v>5094</v>
      </c>
      <c r="Z86" s="3">
        <v>5346</v>
      </c>
      <c r="AA86" s="3">
        <v>381840</v>
      </c>
      <c r="AB86" s="3">
        <v>424537</v>
      </c>
      <c r="AC86" s="3">
        <v>1363</v>
      </c>
      <c r="AD86" s="3">
        <v>1327</v>
      </c>
      <c r="AE86" s="3">
        <v>1122</v>
      </c>
      <c r="AF86" s="3">
        <v>1147</v>
      </c>
      <c r="AG86" s="3"/>
    </row>
    <row r="87" spans="1:33">
      <c r="A87" s="3"/>
      <c r="B87" s="3"/>
      <c r="C87" s="3" t="s">
        <v>106</v>
      </c>
      <c r="D87" s="3" t="s">
        <v>107</v>
      </c>
      <c r="E87" s="3" t="s">
        <v>43</v>
      </c>
      <c r="F87" s="3" t="s">
        <v>44</v>
      </c>
      <c r="G87" s="3" t="s">
        <v>6</v>
      </c>
      <c r="H87" s="2">
        <v>46251.640025844899</v>
      </c>
      <c r="I87" s="3">
        <v>101.22</v>
      </c>
      <c r="J87" s="3" t="s">
        <v>46</v>
      </c>
      <c r="K87" s="3">
        <v>42.7</v>
      </c>
      <c r="L87" s="3">
        <v>262.2</v>
      </c>
      <c r="M87" s="3">
        <v>255.1</v>
      </c>
      <c r="N87" s="3">
        <v>2800</v>
      </c>
      <c r="O87" s="3">
        <v>2292</v>
      </c>
      <c r="P87" s="3">
        <v>3845</v>
      </c>
      <c r="Q87" s="3">
        <v>3829</v>
      </c>
      <c r="R87" s="3">
        <v>0.63</v>
      </c>
      <c r="S87" s="3">
        <v>1399</v>
      </c>
      <c r="T87" s="3">
        <v>1452</v>
      </c>
      <c r="U87" s="3">
        <v>130</v>
      </c>
      <c r="V87" s="3">
        <v>130</v>
      </c>
      <c r="W87" s="3">
        <v>1319</v>
      </c>
      <c r="X87" s="3">
        <v>1292</v>
      </c>
      <c r="Y87" s="3">
        <v>3894</v>
      </c>
      <c r="Z87" s="3">
        <v>4482</v>
      </c>
      <c r="AA87" s="3">
        <v>320126</v>
      </c>
      <c r="AB87" s="3">
        <v>121701</v>
      </c>
      <c r="AC87" s="3">
        <v>1452</v>
      </c>
      <c r="AD87" s="3">
        <v>1399</v>
      </c>
      <c r="AE87" s="3">
        <v>1088</v>
      </c>
      <c r="AF87" s="3">
        <v>1101</v>
      </c>
      <c r="AG87" s="3"/>
    </row>
    <row r="88" spans="1:33">
      <c r="A88" s="3"/>
      <c r="B88" s="3"/>
      <c r="C88" s="3" t="s">
        <v>108</v>
      </c>
      <c r="D88" s="3" t="s">
        <v>109</v>
      </c>
      <c r="E88" s="3" t="s">
        <v>43</v>
      </c>
      <c r="F88" s="3" t="s">
        <v>44</v>
      </c>
      <c r="G88" s="3" t="s">
        <v>6</v>
      </c>
      <c r="H88" s="2">
        <v>46251.638924455998</v>
      </c>
      <c r="I88" s="3">
        <v>131.94999999999999</v>
      </c>
      <c r="J88" s="3" t="s">
        <v>45</v>
      </c>
      <c r="K88" s="3">
        <v>28.1</v>
      </c>
      <c r="L88" s="3">
        <v>348.8</v>
      </c>
      <c r="M88" s="3">
        <v>344.9</v>
      </c>
      <c r="N88" s="3">
        <v>426</v>
      </c>
      <c r="O88" s="3">
        <v>-53</v>
      </c>
      <c r="P88" s="3">
        <v>3373</v>
      </c>
      <c r="Q88" s="3">
        <v>3577</v>
      </c>
      <c r="R88" s="3">
        <v>0.36</v>
      </c>
      <c r="S88" s="3">
        <v>1368</v>
      </c>
      <c r="T88" s="3">
        <v>1412</v>
      </c>
      <c r="U88" s="3">
        <v>178</v>
      </c>
      <c r="V88" s="3">
        <v>12</v>
      </c>
      <c r="W88" s="3">
        <v>1315</v>
      </c>
      <c r="X88" s="3">
        <v>1315</v>
      </c>
      <c r="Y88" s="3">
        <v>2655</v>
      </c>
      <c r="Z88" s="3">
        <v>3447</v>
      </c>
      <c r="AA88" s="3">
        <v>41033</v>
      </c>
      <c r="AB88" s="3">
        <v>30175</v>
      </c>
      <c r="AC88" s="3">
        <v>1412</v>
      </c>
      <c r="AD88" s="3">
        <v>1368</v>
      </c>
      <c r="AE88" s="3">
        <v>1331</v>
      </c>
      <c r="AF88" s="3">
        <v>1361</v>
      </c>
      <c r="AG88" s="3"/>
    </row>
    <row r="89" spans="1:33">
      <c r="A89" s="3"/>
      <c r="B89" s="3"/>
      <c r="C89" s="3" t="s">
        <v>108</v>
      </c>
      <c r="D89" s="3" t="s">
        <v>109</v>
      </c>
      <c r="E89" s="3" t="s">
        <v>43</v>
      </c>
      <c r="F89" s="3" t="s">
        <v>44</v>
      </c>
      <c r="G89" s="3" t="s">
        <v>6</v>
      </c>
      <c r="H89" s="2">
        <v>46251.638924455998</v>
      </c>
      <c r="I89" s="3">
        <v>131.94999999999999</v>
      </c>
      <c r="J89" s="3" t="s">
        <v>46</v>
      </c>
      <c r="K89" s="3">
        <v>27.9</v>
      </c>
      <c r="L89" s="3">
        <v>362.5</v>
      </c>
      <c r="M89" s="3">
        <v>343.6</v>
      </c>
      <c r="N89" s="3">
        <v>0</v>
      </c>
      <c r="O89" s="3">
        <v>0</v>
      </c>
      <c r="P89" s="3">
        <v>4336</v>
      </c>
      <c r="Q89" s="3">
        <v>4176</v>
      </c>
      <c r="R89" s="3">
        <v>0.37</v>
      </c>
      <c r="S89" s="3">
        <v>1469</v>
      </c>
      <c r="T89" s="3">
        <v>1515</v>
      </c>
      <c r="U89" s="3">
        <v>0</v>
      </c>
      <c r="V89" s="3">
        <v>0</v>
      </c>
      <c r="W89" s="3">
        <v>1240</v>
      </c>
      <c r="X89" s="3">
        <v>1201</v>
      </c>
      <c r="Y89" s="3">
        <v>5536</v>
      </c>
      <c r="Z89" s="3">
        <v>4215</v>
      </c>
      <c r="AA89" s="3">
        <v>81053</v>
      </c>
      <c r="AB89" s="3">
        <v>110729</v>
      </c>
      <c r="AC89" s="3">
        <v>1506</v>
      </c>
      <c r="AD89" s="3">
        <v>1451</v>
      </c>
      <c r="AE89" s="3">
        <v>1515</v>
      </c>
      <c r="AF89" s="3">
        <v>1469</v>
      </c>
      <c r="AG89" s="3"/>
    </row>
    <row r="90" spans="1:33">
      <c r="A90" s="3"/>
      <c r="B90" s="3"/>
      <c r="C90" s="3" t="s">
        <v>110</v>
      </c>
      <c r="D90" s="3" t="s">
        <v>111</v>
      </c>
      <c r="E90" s="3" t="s">
        <v>43</v>
      </c>
      <c r="F90" s="3" t="s">
        <v>44</v>
      </c>
      <c r="G90" s="3" t="s">
        <v>6</v>
      </c>
      <c r="H90" s="2">
        <v>46251.637679479201</v>
      </c>
      <c r="I90" s="3">
        <v>83.43</v>
      </c>
      <c r="J90" s="3" t="s">
        <v>45</v>
      </c>
      <c r="K90" s="3">
        <v>31.9</v>
      </c>
      <c r="L90" s="3">
        <v>188.7</v>
      </c>
      <c r="M90" s="3">
        <v>188.6</v>
      </c>
      <c r="N90" s="3">
        <v>0</v>
      </c>
      <c r="O90" s="3">
        <v>0</v>
      </c>
      <c r="P90" s="3">
        <v>4447</v>
      </c>
      <c r="Q90" s="3">
        <v>6081</v>
      </c>
      <c r="R90" s="3">
        <v>0.54</v>
      </c>
      <c r="S90" s="3">
        <v>1272</v>
      </c>
      <c r="T90" s="3">
        <v>1160</v>
      </c>
      <c r="U90" s="3">
        <v>2</v>
      </c>
      <c r="V90" s="3">
        <v>0</v>
      </c>
      <c r="W90" s="3">
        <v>982</v>
      </c>
      <c r="X90" s="3">
        <v>966</v>
      </c>
      <c r="Y90" s="3">
        <v>5699</v>
      </c>
      <c r="Z90" s="3">
        <v>5601</v>
      </c>
      <c r="AA90" s="3">
        <v>254580</v>
      </c>
      <c r="AB90" s="3">
        <v>284972</v>
      </c>
      <c r="AC90" s="3">
        <v>1160</v>
      </c>
      <c r="AD90" s="3">
        <v>1271</v>
      </c>
      <c r="AE90" s="3">
        <v>1159</v>
      </c>
      <c r="AF90" s="3">
        <v>1272</v>
      </c>
      <c r="AG90" s="3"/>
    </row>
    <row r="91" spans="1:33">
      <c r="A91" s="3"/>
      <c r="B91" s="3"/>
      <c r="C91" s="3" t="s">
        <v>110</v>
      </c>
      <c r="D91" s="3" t="s">
        <v>111</v>
      </c>
      <c r="E91" s="3" t="s">
        <v>43</v>
      </c>
      <c r="F91" s="3" t="s">
        <v>44</v>
      </c>
      <c r="G91" s="3" t="s">
        <v>6</v>
      </c>
      <c r="H91" s="2">
        <v>46251.637679479201</v>
      </c>
      <c r="I91" s="3">
        <v>83.43</v>
      </c>
      <c r="J91" s="3" t="s">
        <v>46</v>
      </c>
      <c r="K91" s="3">
        <v>34</v>
      </c>
      <c r="L91" s="3">
        <v>196.5</v>
      </c>
      <c r="M91" s="3">
        <v>203.4</v>
      </c>
      <c r="N91" s="3">
        <v>0</v>
      </c>
      <c r="O91" s="3">
        <v>0</v>
      </c>
      <c r="P91" s="3">
        <v>5551</v>
      </c>
      <c r="Q91" s="3">
        <v>4059</v>
      </c>
      <c r="R91" s="3">
        <v>0.56000000000000005</v>
      </c>
      <c r="S91" s="3">
        <v>1250</v>
      </c>
      <c r="T91" s="3">
        <v>1216</v>
      </c>
      <c r="U91" s="3">
        <v>0</v>
      </c>
      <c r="V91" s="3">
        <v>0</v>
      </c>
      <c r="W91" s="3">
        <v>883</v>
      </c>
      <c r="X91" s="3">
        <v>893</v>
      </c>
      <c r="Y91" s="3">
        <v>4873</v>
      </c>
      <c r="Z91" s="3">
        <v>4993</v>
      </c>
      <c r="AA91" s="3">
        <v>356626</v>
      </c>
      <c r="AB91" s="3">
        <v>304590</v>
      </c>
      <c r="AC91" s="3">
        <v>1208</v>
      </c>
      <c r="AD91" s="3">
        <v>1240</v>
      </c>
      <c r="AE91" s="3">
        <v>1216</v>
      </c>
      <c r="AF91" s="3">
        <v>1250</v>
      </c>
      <c r="AG91" s="3"/>
    </row>
    <row r="92" spans="1:33">
      <c r="A92" s="3"/>
      <c r="B92" s="3"/>
      <c r="C92" s="3" t="s">
        <v>110</v>
      </c>
      <c r="D92" s="3" t="s">
        <v>111</v>
      </c>
      <c r="E92" s="3" t="s">
        <v>43</v>
      </c>
      <c r="F92" s="3" t="s">
        <v>44</v>
      </c>
      <c r="G92" s="3" t="s">
        <v>6</v>
      </c>
      <c r="H92" s="2">
        <v>46251.637679479201</v>
      </c>
      <c r="I92" s="3">
        <v>83.43</v>
      </c>
      <c r="J92" s="3" t="s">
        <v>47</v>
      </c>
      <c r="K92" s="3">
        <v>32.799999999999997</v>
      </c>
      <c r="L92" s="3">
        <v>192.1</v>
      </c>
      <c r="M92" s="3">
        <v>198.3</v>
      </c>
      <c r="N92" s="3">
        <v>0</v>
      </c>
      <c r="O92" s="3">
        <v>0</v>
      </c>
      <c r="P92" s="3">
        <v>6025</v>
      </c>
      <c r="Q92" s="3">
        <v>5915</v>
      </c>
      <c r="R92" s="3">
        <v>0.56999999999999995</v>
      </c>
      <c r="S92" s="3">
        <v>1268</v>
      </c>
      <c r="T92" s="3">
        <v>1252</v>
      </c>
      <c r="U92" s="3">
        <v>0</v>
      </c>
      <c r="V92" s="3">
        <v>0</v>
      </c>
      <c r="W92" s="3">
        <v>888</v>
      </c>
      <c r="X92" s="3">
        <v>908</v>
      </c>
      <c r="Y92" s="3">
        <v>5636</v>
      </c>
      <c r="Z92" s="3">
        <v>4455</v>
      </c>
      <c r="AA92" s="3">
        <v>278423</v>
      </c>
      <c r="AB92" s="3">
        <v>402603</v>
      </c>
      <c r="AC92" s="3">
        <v>1243</v>
      </c>
      <c r="AD92" s="3">
        <v>1252</v>
      </c>
      <c r="AE92" s="3">
        <v>1252</v>
      </c>
      <c r="AF92" s="3">
        <v>1268</v>
      </c>
      <c r="AG92" s="3"/>
    </row>
    <row r="93" spans="1:33">
      <c r="A93" s="3"/>
      <c r="B93" s="3"/>
      <c r="C93" s="3" t="s">
        <v>112</v>
      </c>
      <c r="D93" s="3" t="s">
        <v>113</v>
      </c>
      <c r="E93" s="3" t="s">
        <v>43</v>
      </c>
      <c r="F93" s="3" t="s">
        <v>44</v>
      </c>
      <c r="G93" s="3" t="s">
        <v>6</v>
      </c>
      <c r="H93" s="2">
        <v>46251.637333564802</v>
      </c>
      <c r="I93" s="3">
        <v>95.95</v>
      </c>
      <c r="J93" s="3" t="s">
        <v>45</v>
      </c>
      <c r="K93" s="3">
        <v>37.6</v>
      </c>
      <c r="L93" s="3">
        <v>246.2</v>
      </c>
      <c r="M93" s="3">
        <v>236.8</v>
      </c>
      <c r="N93" s="3">
        <v>1500</v>
      </c>
      <c r="O93" s="3">
        <v>1000</v>
      </c>
      <c r="P93" s="3">
        <v>3825</v>
      </c>
      <c r="Q93" s="3">
        <v>3651</v>
      </c>
      <c r="R93" s="3">
        <v>0.54</v>
      </c>
      <c r="S93" s="3">
        <v>1218</v>
      </c>
      <c r="T93" s="3">
        <v>1315</v>
      </c>
      <c r="U93" s="3">
        <v>4</v>
      </c>
      <c r="V93" s="3">
        <v>2</v>
      </c>
      <c r="W93" s="3">
        <v>1118</v>
      </c>
      <c r="X93" s="3">
        <v>1120</v>
      </c>
      <c r="Y93" s="3">
        <v>4521</v>
      </c>
      <c r="Z93" s="3">
        <v>5906</v>
      </c>
      <c r="AA93" s="3">
        <v>164058</v>
      </c>
      <c r="AB93" s="3">
        <v>118968</v>
      </c>
      <c r="AC93" s="3">
        <v>1315</v>
      </c>
      <c r="AD93" s="3">
        <v>1217</v>
      </c>
      <c r="AE93" s="3">
        <v>1310</v>
      </c>
      <c r="AF93" s="3">
        <v>1218</v>
      </c>
      <c r="AG93" s="3"/>
    </row>
    <row r="94" spans="1:33">
      <c r="A94" s="3"/>
      <c r="B94" s="3"/>
      <c r="C94" s="3" t="s">
        <v>112</v>
      </c>
      <c r="D94" s="3" t="s">
        <v>113</v>
      </c>
      <c r="E94" s="3" t="s">
        <v>43</v>
      </c>
      <c r="F94" s="3" t="s">
        <v>44</v>
      </c>
      <c r="G94" s="3" t="s">
        <v>6</v>
      </c>
      <c r="H94" s="2">
        <v>46251.637333564802</v>
      </c>
      <c r="I94" s="3">
        <v>95.95</v>
      </c>
      <c r="J94" s="3" t="s">
        <v>46</v>
      </c>
      <c r="K94" s="3">
        <v>38.9</v>
      </c>
      <c r="L94" s="3">
        <v>263.60000000000002</v>
      </c>
      <c r="M94" s="3">
        <v>261.60000000000002</v>
      </c>
      <c r="N94" s="3">
        <v>1250</v>
      </c>
      <c r="O94" s="3">
        <v>1250</v>
      </c>
      <c r="P94" s="3">
        <v>3476</v>
      </c>
      <c r="Q94" s="3">
        <v>3408</v>
      </c>
      <c r="R94" s="3">
        <v>0.47</v>
      </c>
      <c r="S94" s="3">
        <v>1168</v>
      </c>
      <c r="T94" s="3">
        <v>1237</v>
      </c>
      <c r="U94" s="3">
        <v>4</v>
      </c>
      <c r="V94" s="3">
        <v>4</v>
      </c>
      <c r="W94" s="3">
        <v>999</v>
      </c>
      <c r="X94" s="3">
        <v>1016</v>
      </c>
      <c r="Y94" s="3">
        <v>5088</v>
      </c>
      <c r="Z94" s="3">
        <v>4875</v>
      </c>
      <c r="AA94" s="3">
        <v>143385</v>
      </c>
      <c r="AB94" s="3">
        <v>149640</v>
      </c>
      <c r="AC94" s="3">
        <v>1237</v>
      </c>
      <c r="AD94" s="3">
        <v>1168</v>
      </c>
      <c r="AE94" s="3">
        <v>1232</v>
      </c>
      <c r="AF94" s="3">
        <v>1163</v>
      </c>
      <c r="AG94" s="3"/>
    </row>
    <row r="95" spans="1:33">
      <c r="A95" s="3"/>
      <c r="B95" s="3"/>
      <c r="C95" s="3" t="s">
        <v>112</v>
      </c>
      <c r="D95" s="3" t="s">
        <v>113</v>
      </c>
      <c r="E95" s="3" t="s">
        <v>43</v>
      </c>
      <c r="F95" s="3" t="s">
        <v>44</v>
      </c>
      <c r="G95" s="3" t="s">
        <v>6</v>
      </c>
      <c r="H95" s="2">
        <v>46251.637333564802</v>
      </c>
      <c r="I95" s="3">
        <v>95.95</v>
      </c>
      <c r="J95" s="3" t="s">
        <v>47</v>
      </c>
      <c r="K95" s="3">
        <v>40.700000000000003</v>
      </c>
      <c r="L95" s="3">
        <v>258.5</v>
      </c>
      <c r="M95" s="3">
        <v>260.5</v>
      </c>
      <c r="N95" s="3">
        <v>0</v>
      </c>
      <c r="O95" s="3">
        <v>0</v>
      </c>
      <c r="P95" s="3">
        <v>3954</v>
      </c>
      <c r="Q95" s="3">
        <v>4674</v>
      </c>
      <c r="R95" s="3">
        <v>0.57999999999999996</v>
      </c>
      <c r="S95" s="3">
        <v>1289</v>
      </c>
      <c r="T95" s="3">
        <v>1255</v>
      </c>
      <c r="U95" s="3">
        <v>0</v>
      </c>
      <c r="V95" s="3">
        <v>4</v>
      </c>
      <c r="W95" s="3">
        <v>991</v>
      </c>
      <c r="X95" s="3">
        <v>1001</v>
      </c>
      <c r="Y95" s="3">
        <v>3788</v>
      </c>
      <c r="Z95" s="3">
        <v>3077</v>
      </c>
      <c r="AA95" s="3">
        <v>69934</v>
      </c>
      <c r="AB95" s="3">
        <v>90185</v>
      </c>
      <c r="AC95" s="3">
        <v>1255</v>
      </c>
      <c r="AD95" s="3">
        <v>1289</v>
      </c>
      <c r="AE95" s="3">
        <v>1255</v>
      </c>
      <c r="AF95" s="3">
        <v>1288</v>
      </c>
      <c r="AG95" s="3"/>
    </row>
    <row r="96" spans="1:33">
      <c r="A96" s="3"/>
      <c r="B96" s="3"/>
      <c r="C96" s="3" t="s">
        <v>114</v>
      </c>
      <c r="D96" s="3" t="s">
        <v>115</v>
      </c>
      <c r="E96" s="3" t="s">
        <v>43</v>
      </c>
      <c r="F96" s="3" t="s">
        <v>44</v>
      </c>
      <c r="G96" s="3" t="s">
        <v>6</v>
      </c>
      <c r="H96" s="2">
        <v>46251.636684687503</v>
      </c>
      <c r="I96" s="3">
        <v>141.25</v>
      </c>
      <c r="J96" s="3" t="s">
        <v>45</v>
      </c>
      <c r="K96" s="3">
        <v>23.7</v>
      </c>
      <c r="L96" s="3">
        <v>331.2</v>
      </c>
      <c r="M96" s="3">
        <v>337.6</v>
      </c>
      <c r="N96" s="3">
        <v>0</v>
      </c>
      <c r="O96" s="3">
        <v>0</v>
      </c>
      <c r="P96" s="3">
        <v>5401</v>
      </c>
      <c r="Q96" s="3">
        <v>5369</v>
      </c>
      <c r="R96" s="3">
        <v>0.35</v>
      </c>
      <c r="S96" s="3">
        <v>1801</v>
      </c>
      <c r="T96" s="3">
        <v>1754</v>
      </c>
      <c r="U96" s="3">
        <v>0</v>
      </c>
      <c r="V96" s="3">
        <v>0</v>
      </c>
      <c r="W96" s="3">
        <v>1364</v>
      </c>
      <c r="X96" s="3">
        <v>1439</v>
      </c>
      <c r="Y96" s="3">
        <v>5904</v>
      </c>
      <c r="Z96" s="3">
        <v>5573</v>
      </c>
      <c r="AA96" s="3">
        <v>278638</v>
      </c>
      <c r="AB96" s="3">
        <v>421746</v>
      </c>
      <c r="AC96" s="3">
        <v>1746</v>
      </c>
      <c r="AD96" s="3">
        <v>1772</v>
      </c>
      <c r="AE96" s="3">
        <v>1754</v>
      </c>
      <c r="AF96" s="3">
        <v>1801</v>
      </c>
      <c r="AG96" s="3"/>
    </row>
    <row r="97" spans="1:33">
      <c r="A97" s="3"/>
      <c r="B97" s="3"/>
      <c r="C97" s="3" t="s">
        <v>114</v>
      </c>
      <c r="D97" s="3" t="s">
        <v>115</v>
      </c>
      <c r="E97" s="3" t="s">
        <v>43</v>
      </c>
      <c r="F97" s="3" t="s">
        <v>44</v>
      </c>
      <c r="G97" s="3" t="s">
        <v>6</v>
      </c>
      <c r="H97" s="2">
        <v>46251.636684687503</v>
      </c>
      <c r="I97" s="3">
        <v>141.25</v>
      </c>
      <c r="J97" s="3" t="s">
        <v>46</v>
      </c>
      <c r="K97" s="3">
        <v>24</v>
      </c>
      <c r="L97" s="3">
        <v>338.8</v>
      </c>
      <c r="M97" s="3">
        <v>353.6</v>
      </c>
      <c r="N97" s="3">
        <v>0</v>
      </c>
      <c r="O97" s="3">
        <v>0</v>
      </c>
      <c r="P97" s="3">
        <v>5830</v>
      </c>
      <c r="Q97" s="3">
        <v>5480</v>
      </c>
      <c r="R97" s="3">
        <v>0.33</v>
      </c>
      <c r="S97" s="3">
        <v>1790</v>
      </c>
      <c r="T97" s="3">
        <v>1807</v>
      </c>
      <c r="U97" s="3">
        <v>0</v>
      </c>
      <c r="V97" s="3">
        <v>0</v>
      </c>
      <c r="W97" s="3">
        <v>1325</v>
      </c>
      <c r="X97" s="3">
        <v>1410</v>
      </c>
      <c r="Y97" s="3">
        <v>4390</v>
      </c>
      <c r="Z97" s="3">
        <v>4977</v>
      </c>
      <c r="AA97" s="3">
        <v>414730</v>
      </c>
      <c r="AB97" s="3">
        <v>274403</v>
      </c>
      <c r="AC97" s="3">
        <v>1755</v>
      </c>
      <c r="AD97" s="3">
        <v>1733</v>
      </c>
      <c r="AE97" s="3">
        <v>1807</v>
      </c>
      <c r="AF97" s="3">
        <v>1790</v>
      </c>
      <c r="AG97" s="3"/>
    </row>
    <row r="98" spans="1:33">
      <c r="A98" s="3"/>
      <c r="B98" s="3"/>
      <c r="C98" s="3" t="s">
        <v>116</v>
      </c>
      <c r="D98" s="3" t="s">
        <v>117</v>
      </c>
      <c r="E98" s="3" t="s">
        <v>43</v>
      </c>
      <c r="F98" s="3" t="s">
        <v>44</v>
      </c>
      <c r="G98" s="3" t="s">
        <v>6</v>
      </c>
      <c r="H98" s="2">
        <v>46251.634690046303</v>
      </c>
      <c r="I98" s="3">
        <v>95.45</v>
      </c>
      <c r="J98" s="3" t="s">
        <v>45</v>
      </c>
      <c r="K98" s="3">
        <v>43.8</v>
      </c>
      <c r="L98" s="3">
        <v>237.6</v>
      </c>
      <c r="M98" s="3">
        <v>249.4</v>
      </c>
      <c r="N98" s="3">
        <v>1500</v>
      </c>
      <c r="O98" s="3">
        <v>-500</v>
      </c>
      <c r="P98" s="3">
        <v>5122</v>
      </c>
      <c r="Q98" s="3">
        <v>4962</v>
      </c>
      <c r="R98" s="3">
        <v>0.69</v>
      </c>
      <c r="S98" s="3">
        <v>1418</v>
      </c>
      <c r="T98" s="3">
        <v>1324</v>
      </c>
      <c r="U98" s="3">
        <v>8</v>
      </c>
      <c r="V98" s="3">
        <v>0</v>
      </c>
      <c r="W98" s="3">
        <v>1170</v>
      </c>
      <c r="X98" s="3">
        <v>1226</v>
      </c>
      <c r="Y98" s="3">
        <v>2634</v>
      </c>
      <c r="Z98" s="3">
        <v>2607</v>
      </c>
      <c r="AA98" s="3">
        <v>48279</v>
      </c>
      <c r="AB98" s="3">
        <v>47032</v>
      </c>
      <c r="AC98" s="3">
        <v>1324</v>
      </c>
      <c r="AD98" s="3">
        <v>1408</v>
      </c>
      <c r="AE98" s="3">
        <v>1320</v>
      </c>
      <c r="AF98" s="3">
        <v>1418</v>
      </c>
      <c r="AG98" s="3"/>
    </row>
    <row r="99" spans="1:33">
      <c r="A99" s="3"/>
      <c r="B99" s="3"/>
      <c r="C99" s="3" t="s">
        <v>116</v>
      </c>
      <c r="D99" s="3" t="s">
        <v>117</v>
      </c>
      <c r="E99" s="3" t="s">
        <v>43</v>
      </c>
      <c r="F99" s="3" t="s">
        <v>44</v>
      </c>
      <c r="G99" s="3" t="s">
        <v>6</v>
      </c>
      <c r="H99" s="2">
        <v>46251.634690046303</v>
      </c>
      <c r="I99" s="3">
        <v>95.45</v>
      </c>
      <c r="J99" s="3" t="s">
        <v>46</v>
      </c>
      <c r="K99" s="3">
        <v>44.8</v>
      </c>
      <c r="L99" s="3">
        <v>235</v>
      </c>
      <c r="M99" s="3">
        <v>252.2</v>
      </c>
      <c r="N99" s="3">
        <v>500</v>
      </c>
      <c r="O99" s="3">
        <v>500</v>
      </c>
      <c r="P99" s="3">
        <v>5412</v>
      </c>
      <c r="Q99" s="3">
        <v>5599</v>
      </c>
      <c r="R99" s="3">
        <v>0.71</v>
      </c>
      <c r="S99" s="3">
        <v>1436</v>
      </c>
      <c r="T99" s="3">
        <v>1338</v>
      </c>
      <c r="U99" s="3">
        <v>14</v>
      </c>
      <c r="V99" s="3">
        <v>2</v>
      </c>
      <c r="W99" s="3">
        <v>1114</v>
      </c>
      <c r="X99" s="3">
        <v>1192</v>
      </c>
      <c r="Y99" s="3">
        <v>3161</v>
      </c>
      <c r="Z99" s="3">
        <v>2874</v>
      </c>
      <c r="AA99" s="3">
        <v>75634</v>
      </c>
      <c r="AB99" s="3">
        <v>79019</v>
      </c>
      <c r="AC99" s="3">
        <v>1338</v>
      </c>
      <c r="AD99" s="3">
        <v>1423</v>
      </c>
      <c r="AE99" s="3">
        <v>1331</v>
      </c>
      <c r="AF99" s="3">
        <v>1436</v>
      </c>
      <c r="AG99" s="3"/>
    </row>
    <row r="100" spans="1:33">
      <c r="A100" s="3"/>
      <c r="B100" s="3"/>
      <c r="C100" s="3" t="s">
        <v>116</v>
      </c>
      <c r="D100" s="3" t="s">
        <v>117</v>
      </c>
      <c r="E100" s="3" t="s">
        <v>43</v>
      </c>
      <c r="F100" s="3" t="s">
        <v>44</v>
      </c>
      <c r="G100" s="3" t="s">
        <v>6</v>
      </c>
      <c r="H100" s="2">
        <v>46251.634690046303</v>
      </c>
      <c r="I100" s="3">
        <v>95.45</v>
      </c>
      <c r="J100" s="3" t="s">
        <v>47</v>
      </c>
      <c r="K100" s="3">
        <v>46.7</v>
      </c>
      <c r="L100" s="3">
        <v>255.4</v>
      </c>
      <c r="M100" s="3">
        <v>255.5</v>
      </c>
      <c r="N100" s="3">
        <v>0</v>
      </c>
      <c r="O100" s="3">
        <v>0</v>
      </c>
      <c r="P100" s="3">
        <v>4298</v>
      </c>
      <c r="Q100" s="3">
        <v>4707</v>
      </c>
      <c r="R100" s="3">
        <v>0.7</v>
      </c>
      <c r="S100" s="3">
        <v>1409</v>
      </c>
      <c r="T100" s="3">
        <v>1369</v>
      </c>
      <c r="U100" s="3">
        <v>2</v>
      </c>
      <c r="V100" s="3">
        <v>0</v>
      </c>
      <c r="W100" s="3">
        <v>1134</v>
      </c>
      <c r="X100" s="3">
        <v>1146</v>
      </c>
      <c r="Y100" s="3">
        <v>2461</v>
      </c>
      <c r="Z100" s="3">
        <v>2352</v>
      </c>
      <c r="AA100" s="3">
        <v>53456</v>
      </c>
      <c r="AB100" s="3">
        <v>64757</v>
      </c>
      <c r="AC100" s="3">
        <v>1356</v>
      </c>
      <c r="AD100" s="3">
        <v>1371</v>
      </c>
      <c r="AE100" s="3">
        <v>1369</v>
      </c>
      <c r="AF100" s="3">
        <v>1409</v>
      </c>
      <c r="AG100" s="3"/>
    </row>
    <row r="101" spans="1:33">
      <c r="A101" s="3"/>
      <c r="B101" s="3"/>
      <c r="C101" s="3" t="s">
        <v>118</v>
      </c>
      <c r="D101" s="3" t="s">
        <v>85</v>
      </c>
      <c r="E101" s="3" t="s">
        <v>43</v>
      </c>
      <c r="F101" s="3" t="s">
        <v>44</v>
      </c>
      <c r="G101" s="3" t="s">
        <v>6</v>
      </c>
      <c r="H101" s="2">
        <v>46251.6345398958</v>
      </c>
      <c r="I101" s="3">
        <v>130.66999999999999</v>
      </c>
      <c r="J101" s="3" t="s">
        <v>45</v>
      </c>
      <c r="K101" s="3">
        <v>28.6</v>
      </c>
      <c r="L101" s="3">
        <v>305.10000000000002</v>
      </c>
      <c r="M101" s="3">
        <v>364.4</v>
      </c>
      <c r="N101" s="3">
        <v>0</v>
      </c>
      <c r="O101" s="3">
        <v>0</v>
      </c>
      <c r="P101" s="3">
        <v>4094</v>
      </c>
      <c r="Q101" s="3">
        <v>3956</v>
      </c>
      <c r="R101" s="3">
        <v>0.36</v>
      </c>
      <c r="S101" s="3">
        <v>1560</v>
      </c>
      <c r="T101" s="3">
        <v>1456</v>
      </c>
      <c r="U101" s="3">
        <v>0</v>
      </c>
      <c r="V101" s="3">
        <v>4</v>
      </c>
      <c r="W101" s="3">
        <v>1218</v>
      </c>
      <c r="X101" s="3">
        <v>1375</v>
      </c>
      <c r="Y101" s="3">
        <v>4852</v>
      </c>
      <c r="Z101" s="3">
        <v>4734</v>
      </c>
      <c r="AA101" s="3">
        <v>157792</v>
      </c>
      <c r="AB101" s="3">
        <v>161748</v>
      </c>
      <c r="AC101" s="3">
        <v>1446</v>
      </c>
      <c r="AD101" s="3">
        <v>1560</v>
      </c>
      <c r="AE101" s="3">
        <v>1456</v>
      </c>
      <c r="AF101" s="3">
        <v>1559</v>
      </c>
      <c r="AG101" s="3"/>
    </row>
    <row r="102" spans="1:33">
      <c r="A102" s="3"/>
      <c r="B102" s="3"/>
      <c r="C102" s="3" t="s">
        <v>118</v>
      </c>
      <c r="D102" s="3" t="s">
        <v>85</v>
      </c>
      <c r="E102" s="3" t="s">
        <v>43</v>
      </c>
      <c r="F102" s="3" t="s">
        <v>44</v>
      </c>
      <c r="G102" s="3" t="s">
        <v>6</v>
      </c>
      <c r="H102" s="2">
        <v>46251.6345398958</v>
      </c>
      <c r="I102" s="3">
        <v>130.66999999999999</v>
      </c>
      <c r="J102" s="3" t="s">
        <v>46</v>
      </c>
      <c r="K102" s="3">
        <v>28.3</v>
      </c>
      <c r="L102" s="3">
        <v>314.3</v>
      </c>
      <c r="M102" s="3">
        <v>353.9</v>
      </c>
      <c r="N102" s="3">
        <v>0</v>
      </c>
      <c r="O102" s="3">
        <v>0</v>
      </c>
      <c r="P102" s="3">
        <v>4615</v>
      </c>
      <c r="Q102" s="3">
        <v>4574</v>
      </c>
      <c r="R102" s="3">
        <v>0.37</v>
      </c>
      <c r="S102" s="3">
        <v>1620</v>
      </c>
      <c r="T102" s="3">
        <v>1607</v>
      </c>
      <c r="U102" s="3">
        <v>0</v>
      </c>
      <c r="V102" s="3">
        <v>0</v>
      </c>
      <c r="W102" s="3">
        <v>1204</v>
      </c>
      <c r="X102" s="3">
        <v>1317</v>
      </c>
      <c r="Y102" s="3">
        <v>5854</v>
      </c>
      <c r="Z102" s="3">
        <v>4873</v>
      </c>
      <c r="AA102" s="3">
        <v>243638</v>
      </c>
      <c r="AB102" s="3">
        <v>292722</v>
      </c>
      <c r="AC102" s="3">
        <v>1532</v>
      </c>
      <c r="AD102" s="3">
        <v>1584</v>
      </c>
      <c r="AE102" s="3">
        <v>1607</v>
      </c>
      <c r="AF102" s="3">
        <v>1620</v>
      </c>
      <c r="AG102" s="3"/>
    </row>
    <row r="103" spans="1:33">
      <c r="A103" s="3"/>
      <c r="B103" s="3"/>
      <c r="C103" s="3" t="s">
        <v>119</v>
      </c>
      <c r="D103" s="3" t="s">
        <v>120</v>
      </c>
      <c r="E103" s="3" t="s">
        <v>43</v>
      </c>
      <c r="F103" s="3" t="s">
        <v>44</v>
      </c>
      <c r="G103" s="3" t="s">
        <v>6</v>
      </c>
      <c r="H103" s="2">
        <v>46251.632464467599</v>
      </c>
      <c r="I103" s="3">
        <v>89.96</v>
      </c>
      <c r="J103" s="3" t="s">
        <v>45</v>
      </c>
      <c r="K103" s="3">
        <v>39.200000000000003</v>
      </c>
      <c r="L103" s="3">
        <v>250.6</v>
      </c>
      <c r="M103" s="3">
        <v>233.1</v>
      </c>
      <c r="N103" s="3">
        <v>-143</v>
      </c>
      <c r="O103" s="3">
        <v>2214</v>
      </c>
      <c r="P103" s="3">
        <v>3468</v>
      </c>
      <c r="Q103" s="3">
        <v>3247</v>
      </c>
      <c r="R103" s="3">
        <v>0.51</v>
      </c>
      <c r="S103" s="3">
        <v>1077</v>
      </c>
      <c r="T103" s="3">
        <v>1144</v>
      </c>
      <c r="U103" s="3">
        <v>6</v>
      </c>
      <c r="V103" s="3">
        <v>18</v>
      </c>
      <c r="W103" s="3">
        <v>1019</v>
      </c>
      <c r="X103" s="3">
        <v>953</v>
      </c>
      <c r="Y103" s="3">
        <v>3443</v>
      </c>
      <c r="Z103" s="3">
        <v>3235</v>
      </c>
      <c r="AA103" s="3">
        <v>115527</v>
      </c>
      <c r="AB103" s="3">
        <v>122980</v>
      </c>
      <c r="AC103" s="3">
        <v>1144</v>
      </c>
      <c r="AD103" s="3">
        <v>1077</v>
      </c>
      <c r="AE103" s="3">
        <v>1142</v>
      </c>
      <c r="AF103" s="3">
        <v>1043</v>
      </c>
      <c r="AG103" s="3"/>
    </row>
    <row r="104" spans="1:33">
      <c r="A104" s="3"/>
      <c r="B104" s="3"/>
      <c r="C104" s="3" t="s">
        <v>119</v>
      </c>
      <c r="D104" s="3" t="s">
        <v>120</v>
      </c>
      <c r="E104" s="3" t="s">
        <v>43</v>
      </c>
      <c r="F104" s="3" t="s">
        <v>44</v>
      </c>
      <c r="G104" s="3" t="s">
        <v>6</v>
      </c>
      <c r="H104" s="2">
        <v>46251.632464467599</v>
      </c>
      <c r="I104" s="3">
        <v>89.96</v>
      </c>
      <c r="J104" s="3" t="s">
        <v>46</v>
      </c>
      <c r="K104" s="3">
        <v>42.6</v>
      </c>
      <c r="L104" s="3">
        <v>248.3</v>
      </c>
      <c r="M104" s="3">
        <v>272.89999999999998</v>
      </c>
      <c r="N104" s="3">
        <v>0</v>
      </c>
      <c r="O104" s="3">
        <v>0</v>
      </c>
      <c r="P104" s="3">
        <v>3215</v>
      </c>
      <c r="Q104" s="3">
        <v>3348</v>
      </c>
      <c r="R104" s="3">
        <v>0.48</v>
      </c>
      <c r="S104" s="3">
        <v>1171</v>
      </c>
      <c r="T104" s="3">
        <v>1084</v>
      </c>
      <c r="U104" s="3">
        <v>0</v>
      </c>
      <c r="V104" s="3">
        <v>0</v>
      </c>
      <c r="W104" s="3">
        <v>875</v>
      </c>
      <c r="X104" s="3">
        <v>984</v>
      </c>
      <c r="Y104" s="3">
        <v>4724</v>
      </c>
      <c r="Z104" s="3">
        <v>4813</v>
      </c>
      <c r="AA104" s="3">
        <v>343769</v>
      </c>
      <c r="AB104" s="3">
        <v>295278</v>
      </c>
      <c r="AC104" s="3">
        <v>1076</v>
      </c>
      <c r="AD104" s="3">
        <v>1161</v>
      </c>
      <c r="AE104" s="3">
        <v>1084</v>
      </c>
      <c r="AF104" s="3">
        <v>1171</v>
      </c>
      <c r="AG104" s="3"/>
    </row>
    <row r="105" spans="1:33">
      <c r="A105" s="3"/>
      <c r="B105" s="3"/>
      <c r="C105" s="3" t="s">
        <v>121</v>
      </c>
      <c r="D105" s="3" t="s">
        <v>122</v>
      </c>
      <c r="E105" s="3" t="s">
        <v>43</v>
      </c>
      <c r="F105" s="3" t="s">
        <v>44</v>
      </c>
      <c r="G105" s="3" t="s">
        <v>6</v>
      </c>
      <c r="H105" s="2">
        <v>46251.628022453697</v>
      </c>
      <c r="I105" s="3">
        <v>81.89</v>
      </c>
      <c r="J105" s="3" t="s">
        <v>45</v>
      </c>
      <c r="K105" s="3">
        <v>40.299999999999997</v>
      </c>
      <c r="L105" s="3">
        <v>191.4</v>
      </c>
      <c r="M105" s="3">
        <v>212.7</v>
      </c>
      <c r="N105" s="3">
        <v>1188</v>
      </c>
      <c r="O105" s="3">
        <v>1259</v>
      </c>
      <c r="P105" s="3">
        <v>2986</v>
      </c>
      <c r="Q105" s="3">
        <v>3301</v>
      </c>
      <c r="R105" s="3">
        <v>0.63</v>
      </c>
      <c r="S105" s="3">
        <v>1151</v>
      </c>
      <c r="T105" s="3">
        <v>1037</v>
      </c>
      <c r="U105" s="3">
        <v>110</v>
      </c>
      <c r="V105" s="3">
        <v>98</v>
      </c>
      <c r="W105" s="3">
        <v>970</v>
      </c>
      <c r="X105" s="3">
        <v>1045</v>
      </c>
      <c r="Y105" s="3">
        <v>2639</v>
      </c>
      <c r="Z105" s="3">
        <v>3850</v>
      </c>
      <c r="AA105" s="3">
        <v>320813</v>
      </c>
      <c r="AB105" s="3">
        <v>188532</v>
      </c>
      <c r="AC105" s="3">
        <v>1037</v>
      </c>
      <c r="AD105" s="3">
        <v>1151</v>
      </c>
      <c r="AE105" s="3">
        <v>904</v>
      </c>
      <c r="AF105" s="3">
        <v>1007</v>
      </c>
      <c r="AG105" s="3"/>
    </row>
    <row r="106" spans="1:33">
      <c r="A106" s="3"/>
      <c r="B106" s="3"/>
      <c r="C106" s="3" t="s">
        <v>121</v>
      </c>
      <c r="D106" s="3" t="s">
        <v>122</v>
      </c>
      <c r="E106" s="3" t="s">
        <v>43</v>
      </c>
      <c r="F106" s="3" t="s">
        <v>44</v>
      </c>
      <c r="G106" s="3" t="s">
        <v>6</v>
      </c>
      <c r="H106" s="2">
        <v>46251.628022453697</v>
      </c>
      <c r="I106" s="3">
        <v>81.89</v>
      </c>
      <c r="J106" s="3" t="s">
        <v>46</v>
      </c>
      <c r="K106" s="3">
        <v>41</v>
      </c>
      <c r="L106" s="3">
        <v>191.1</v>
      </c>
      <c r="M106" s="3">
        <v>217.4</v>
      </c>
      <c r="N106" s="3">
        <v>637</v>
      </c>
      <c r="O106" s="3">
        <v>676</v>
      </c>
      <c r="P106" s="3">
        <v>2972</v>
      </c>
      <c r="Q106" s="3">
        <v>3565</v>
      </c>
      <c r="R106" s="3">
        <v>0.65</v>
      </c>
      <c r="S106" s="3">
        <v>1136</v>
      </c>
      <c r="T106" s="3">
        <v>987</v>
      </c>
      <c r="U106" s="3">
        <v>102</v>
      </c>
      <c r="V106" s="3">
        <v>98</v>
      </c>
      <c r="W106" s="3">
        <v>942</v>
      </c>
      <c r="X106" s="3">
        <v>1030</v>
      </c>
      <c r="Y106" s="3">
        <v>3309</v>
      </c>
      <c r="Z106" s="3">
        <v>3720</v>
      </c>
      <c r="AA106" s="3">
        <v>309980</v>
      </c>
      <c r="AB106" s="3">
        <v>275787</v>
      </c>
      <c r="AC106" s="3">
        <v>987</v>
      </c>
      <c r="AD106" s="3">
        <v>1136</v>
      </c>
      <c r="AE106" s="3">
        <v>922</v>
      </c>
      <c r="AF106" s="3">
        <v>1069</v>
      </c>
      <c r="AG106" s="3"/>
    </row>
    <row r="107" spans="1:33">
      <c r="A107" s="3"/>
      <c r="B107" s="3"/>
      <c r="C107" s="3" t="s">
        <v>123</v>
      </c>
      <c r="D107" s="3" t="s">
        <v>124</v>
      </c>
      <c r="E107" s="3" t="s">
        <v>43</v>
      </c>
      <c r="F107" s="3" t="s">
        <v>44</v>
      </c>
      <c r="G107" s="3" t="s">
        <v>6</v>
      </c>
      <c r="H107" s="2">
        <v>46251.625012187498</v>
      </c>
      <c r="I107" s="3">
        <v>76.92</v>
      </c>
      <c r="J107" s="3" t="s">
        <v>45</v>
      </c>
      <c r="K107" s="3">
        <v>43.1</v>
      </c>
      <c r="L107" s="3">
        <v>217.8</v>
      </c>
      <c r="M107" s="3">
        <v>228.8</v>
      </c>
      <c r="N107" s="3">
        <v>0</v>
      </c>
      <c r="O107" s="3">
        <v>0</v>
      </c>
      <c r="P107" s="3">
        <v>4264</v>
      </c>
      <c r="Q107" s="3">
        <v>4106</v>
      </c>
      <c r="R107" s="3">
        <v>0.57999999999999996</v>
      </c>
      <c r="S107" s="3">
        <v>1143</v>
      </c>
      <c r="T107" s="3">
        <v>1052</v>
      </c>
      <c r="U107" s="3">
        <v>0</v>
      </c>
      <c r="V107" s="3">
        <v>0</v>
      </c>
      <c r="W107" s="3">
        <v>743</v>
      </c>
      <c r="X107" s="3">
        <v>813</v>
      </c>
      <c r="Y107" s="3">
        <v>2383</v>
      </c>
      <c r="Z107" s="3">
        <v>1972</v>
      </c>
      <c r="AA107" s="3">
        <v>35208</v>
      </c>
      <c r="AB107" s="3">
        <v>44136</v>
      </c>
      <c r="AC107" s="3">
        <v>1049</v>
      </c>
      <c r="AD107" s="3">
        <v>1136</v>
      </c>
      <c r="AE107" s="3">
        <v>1052</v>
      </c>
      <c r="AF107" s="3">
        <v>1143</v>
      </c>
      <c r="AG107" s="3"/>
    </row>
    <row r="108" spans="1:33">
      <c r="A108" s="3"/>
      <c r="B108" s="3"/>
      <c r="C108" s="3" t="s">
        <v>123</v>
      </c>
      <c r="D108" s="3" t="s">
        <v>124</v>
      </c>
      <c r="E108" s="3" t="s">
        <v>43</v>
      </c>
      <c r="F108" s="3" t="s">
        <v>44</v>
      </c>
      <c r="G108" s="3" t="s">
        <v>6</v>
      </c>
      <c r="H108" s="2">
        <v>46251.625012187498</v>
      </c>
      <c r="I108" s="3">
        <v>76.92</v>
      </c>
      <c r="J108" s="3" t="s">
        <v>46</v>
      </c>
      <c r="K108" s="3">
        <v>49.4</v>
      </c>
      <c r="L108" s="3">
        <v>230.2</v>
      </c>
      <c r="M108" s="3">
        <v>220.5</v>
      </c>
      <c r="N108" s="3">
        <v>0</v>
      </c>
      <c r="O108" s="3">
        <v>0</v>
      </c>
      <c r="P108" s="3">
        <v>5294</v>
      </c>
      <c r="Q108" s="3">
        <v>4496</v>
      </c>
      <c r="R108" s="3">
        <v>0.69</v>
      </c>
      <c r="S108" s="3">
        <v>1180</v>
      </c>
      <c r="T108" s="3">
        <v>1172</v>
      </c>
      <c r="U108" s="3">
        <v>2</v>
      </c>
      <c r="V108" s="3">
        <v>0</v>
      </c>
      <c r="W108" s="3">
        <v>824</v>
      </c>
      <c r="X108" s="3">
        <v>775</v>
      </c>
      <c r="Y108" s="3">
        <v>2424</v>
      </c>
      <c r="Z108" s="3">
        <v>2853</v>
      </c>
      <c r="AA108" s="3">
        <v>57053</v>
      </c>
      <c r="AB108" s="3">
        <v>46622</v>
      </c>
      <c r="AC108" s="3">
        <v>1159</v>
      </c>
      <c r="AD108" s="3">
        <v>1169</v>
      </c>
      <c r="AE108" s="3">
        <v>1172</v>
      </c>
      <c r="AF108" s="3">
        <v>1180</v>
      </c>
      <c r="AG108" s="3"/>
    </row>
    <row r="109" spans="1:33">
      <c r="A109" s="3"/>
      <c r="B109" s="3"/>
      <c r="C109" s="3" t="s">
        <v>123</v>
      </c>
      <c r="D109" s="3" t="s">
        <v>124</v>
      </c>
      <c r="E109" s="3" t="s">
        <v>43</v>
      </c>
      <c r="F109" s="3" t="s">
        <v>44</v>
      </c>
      <c r="G109" s="3" t="s">
        <v>6</v>
      </c>
      <c r="H109" s="2">
        <v>46251.625012187498</v>
      </c>
      <c r="I109" s="3">
        <v>76.92</v>
      </c>
      <c r="J109" s="3" t="s">
        <v>47</v>
      </c>
      <c r="K109" s="3">
        <v>48.6</v>
      </c>
      <c r="L109" s="3">
        <v>223.5</v>
      </c>
      <c r="M109" s="3">
        <v>213.9</v>
      </c>
      <c r="N109" s="3">
        <v>0</v>
      </c>
      <c r="O109" s="3">
        <v>0</v>
      </c>
      <c r="P109" s="3">
        <v>4905</v>
      </c>
      <c r="Q109" s="3">
        <v>4808</v>
      </c>
      <c r="R109" s="3">
        <v>0.7</v>
      </c>
      <c r="S109" s="3">
        <v>1225</v>
      </c>
      <c r="T109" s="3">
        <v>1149</v>
      </c>
      <c r="U109" s="3">
        <v>0</v>
      </c>
      <c r="V109" s="3">
        <v>0</v>
      </c>
      <c r="W109" s="3">
        <v>862</v>
      </c>
      <c r="X109" s="3">
        <v>802</v>
      </c>
      <c r="Y109" s="3">
        <v>4073</v>
      </c>
      <c r="Z109" s="3">
        <v>4660</v>
      </c>
      <c r="AA109" s="3">
        <v>145614</v>
      </c>
      <c r="AB109" s="3">
        <v>119804</v>
      </c>
      <c r="AC109" s="3">
        <v>1144</v>
      </c>
      <c r="AD109" s="3">
        <v>1214</v>
      </c>
      <c r="AE109" s="3">
        <v>1149</v>
      </c>
      <c r="AF109" s="3">
        <v>1225</v>
      </c>
      <c r="AG109" s="3"/>
    </row>
    <row r="110" spans="1:33">
      <c r="A110" s="3"/>
      <c r="B110" s="3"/>
      <c r="C110" s="3" t="s">
        <v>125</v>
      </c>
      <c r="D110" s="3" t="s">
        <v>126</v>
      </c>
      <c r="E110" s="3" t="s">
        <v>43</v>
      </c>
      <c r="F110" s="3" t="s">
        <v>44</v>
      </c>
      <c r="G110" s="3" t="s">
        <v>6</v>
      </c>
      <c r="H110" s="2">
        <v>46251.623818669003</v>
      </c>
      <c r="I110" s="3">
        <v>88.42</v>
      </c>
      <c r="J110" s="3" t="s">
        <v>45</v>
      </c>
      <c r="K110" s="3">
        <v>40.4</v>
      </c>
      <c r="L110" s="3">
        <v>238.3</v>
      </c>
      <c r="M110" s="3">
        <v>261.10000000000002</v>
      </c>
      <c r="N110" s="3">
        <v>2143</v>
      </c>
      <c r="O110" s="3">
        <v>-2036</v>
      </c>
      <c r="P110" s="3">
        <v>2837</v>
      </c>
      <c r="Q110" s="3">
        <v>4659</v>
      </c>
      <c r="R110" s="3">
        <v>0.52</v>
      </c>
      <c r="S110" s="3">
        <v>1274</v>
      </c>
      <c r="T110" s="3">
        <v>929</v>
      </c>
      <c r="U110" s="3">
        <v>40</v>
      </c>
      <c r="V110" s="3">
        <v>0</v>
      </c>
      <c r="W110" s="3">
        <v>898</v>
      </c>
      <c r="X110" s="3">
        <v>885</v>
      </c>
      <c r="Y110" s="3">
        <v>5552</v>
      </c>
      <c r="Z110" s="3">
        <v>4697</v>
      </c>
      <c r="AA110" s="3">
        <v>391386</v>
      </c>
      <c r="AB110" s="3">
        <v>555234</v>
      </c>
      <c r="AC110" s="3">
        <v>929</v>
      </c>
      <c r="AD110" s="3">
        <v>1266</v>
      </c>
      <c r="AE110" s="3">
        <v>914</v>
      </c>
      <c r="AF110" s="3">
        <v>1274</v>
      </c>
      <c r="AG110" s="3"/>
    </row>
    <row r="111" spans="1:33">
      <c r="A111" s="3"/>
      <c r="B111" s="3"/>
      <c r="C111" s="3" t="s">
        <v>125</v>
      </c>
      <c r="D111" s="3" t="s">
        <v>126</v>
      </c>
      <c r="E111" s="3" t="s">
        <v>43</v>
      </c>
      <c r="F111" s="3" t="s">
        <v>44</v>
      </c>
      <c r="G111" s="3" t="s">
        <v>6</v>
      </c>
      <c r="H111" s="2">
        <v>46251.623818669003</v>
      </c>
      <c r="I111" s="3">
        <v>88.42</v>
      </c>
      <c r="J111" s="3" t="s">
        <v>46</v>
      </c>
      <c r="K111" s="3">
        <v>40.200000000000003</v>
      </c>
      <c r="L111" s="3">
        <v>234</v>
      </c>
      <c r="M111" s="3">
        <v>258.60000000000002</v>
      </c>
      <c r="N111" s="3">
        <v>0</v>
      </c>
      <c r="O111" s="3">
        <v>0</v>
      </c>
      <c r="P111" s="3">
        <v>3533</v>
      </c>
      <c r="Q111" s="3">
        <v>5542</v>
      </c>
      <c r="R111" s="3">
        <v>0.55000000000000004</v>
      </c>
      <c r="S111" s="3">
        <v>1337</v>
      </c>
      <c r="T111" s="3">
        <v>991</v>
      </c>
      <c r="U111" s="3">
        <v>24</v>
      </c>
      <c r="V111" s="3">
        <v>0</v>
      </c>
      <c r="W111" s="3">
        <v>918</v>
      </c>
      <c r="X111" s="3">
        <v>915</v>
      </c>
      <c r="Y111" s="3">
        <v>2689</v>
      </c>
      <c r="Z111" s="3">
        <v>4435</v>
      </c>
      <c r="AA111" s="3">
        <v>277165</v>
      </c>
      <c r="AB111" s="3">
        <v>112056</v>
      </c>
      <c r="AC111" s="3">
        <v>991</v>
      </c>
      <c r="AD111" s="3">
        <v>1335</v>
      </c>
      <c r="AE111" s="3">
        <v>973</v>
      </c>
      <c r="AF111" s="3">
        <v>1337</v>
      </c>
      <c r="AG111" s="3"/>
    </row>
    <row r="112" spans="1:33">
      <c r="A112" s="3"/>
      <c r="B112" s="3"/>
      <c r="C112" s="3" t="s">
        <v>127</v>
      </c>
      <c r="D112" s="3" t="s">
        <v>128</v>
      </c>
      <c r="E112" s="3" t="s">
        <v>43</v>
      </c>
      <c r="F112" s="3" t="s">
        <v>44</v>
      </c>
      <c r="G112" s="3" t="s">
        <v>6</v>
      </c>
      <c r="H112" s="2">
        <v>46251.622956678199</v>
      </c>
      <c r="I112" s="3">
        <v>133.32</v>
      </c>
      <c r="J112" s="3" t="s">
        <v>45</v>
      </c>
      <c r="K112" s="3">
        <v>29.1</v>
      </c>
      <c r="L112" s="3">
        <v>307.3</v>
      </c>
      <c r="M112" s="3">
        <v>350.8</v>
      </c>
      <c r="N112" s="3">
        <v>0</v>
      </c>
      <c r="O112" s="3">
        <v>0</v>
      </c>
      <c r="P112" s="3">
        <v>5283</v>
      </c>
      <c r="Q112" s="3">
        <v>6003</v>
      </c>
      <c r="R112" s="3">
        <v>0.39</v>
      </c>
      <c r="S112" s="3">
        <v>1865</v>
      </c>
      <c r="T112" s="3">
        <v>1681</v>
      </c>
      <c r="U112" s="3">
        <v>2</v>
      </c>
      <c r="V112" s="3">
        <v>0</v>
      </c>
      <c r="W112" s="3">
        <v>1218</v>
      </c>
      <c r="X112" s="3">
        <v>1367</v>
      </c>
      <c r="Y112" s="3">
        <v>5456</v>
      </c>
      <c r="Z112" s="3">
        <v>6168</v>
      </c>
      <c r="AA112" s="3">
        <v>192743</v>
      </c>
      <c r="AB112" s="3">
        <v>170514</v>
      </c>
      <c r="AC112" s="3">
        <v>1681</v>
      </c>
      <c r="AD112" s="3">
        <v>1865</v>
      </c>
      <c r="AE112" s="3">
        <v>1675</v>
      </c>
      <c r="AF112" s="3">
        <v>1865</v>
      </c>
      <c r="AG112" s="3"/>
    </row>
    <row r="113" spans="1:33">
      <c r="A113" s="3"/>
      <c r="B113" s="3"/>
      <c r="C113" s="3" t="s">
        <v>127</v>
      </c>
      <c r="D113" s="3" t="s">
        <v>128</v>
      </c>
      <c r="E113" s="3" t="s">
        <v>43</v>
      </c>
      <c r="F113" s="3" t="s">
        <v>44</v>
      </c>
      <c r="G113" s="3" t="s">
        <v>6</v>
      </c>
      <c r="H113" s="2">
        <v>46251.622956678199</v>
      </c>
      <c r="I113" s="3">
        <v>133.32</v>
      </c>
      <c r="J113" s="3" t="s">
        <v>46</v>
      </c>
      <c r="K113" s="3">
        <v>28.6</v>
      </c>
      <c r="L113" s="3">
        <v>305.5</v>
      </c>
      <c r="M113" s="3">
        <v>351.5</v>
      </c>
      <c r="N113" s="3">
        <v>0</v>
      </c>
      <c r="O113" s="3">
        <v>2000</v>
      </c>
      <c r="P113" s="3">
        <v>5642</v>
      </c>
      <c r="Q113" s="3">
        <v>7151</v>
      </c>
      <c r="R113" s="3">
        <v>0.42</v>
      </c>
      <c r="S113" s="3">
        <v>1877</v>
      </c>
      <c r="T113" s="3">
        <v>1657</v>
      </c>
      <c r="U113" s="3">
        <v>8</v>
      </c>
      <c r="V113" s="3">
        <v>4</v>
      </c>
      <c r="W113" s="3">
        <v>1195</v>
      </c>
      <c r="X113" s="3">
        <v>1337</v>
      </c>
      <c r="Y113" s="3">
        <v>7612</v>
      </c>
      <c r="Z113" s="3">
        <v>8215</v>
      </c>
      <c r="AA113" s="3">
        <v>586769</v>
      </c>
      <c r="AB113" s="3">
        <v>422913</v>
      </c>
      <c r="AC113" s="3">
        <v>1657</v>
      </c>
      <c r="AD113" s="3">
        <v>1877</v>
      </c>
      <c r="AE113" s="3">
        <v>1656</v>
      </c>
      <c r="AF113" s="3">
        <v>1872</v>
      </c>
      <c r="AG113" s="3"/>
    </row>
    <row r="114" spans="1:33">
      <c r="A114" s="3"/>
      <c r="B114" s="3"/>
      <c r="C114" s="3" t="s">
        <v>129</v>
      </c>
      <c r="D114" s="3" t="s">
        <v>130</v>
      </c>
      <c r="E114" s="3" t="s">
        <v>43</v>
      </c>
      <c r="F114" s="3" t="s">
        <v>44</v>
      </c>
      <c r="G114" s="3" t="s">
        <v>6</v>
      </c>
      <c r="H114" s="2">
        <v>46251.622708912</v>
      </c>
      <c r="I114" s="3">
        <v>94.86</v>
      </c>
      <c r="J114" s="3" t="s">
        <v>45</v>
      </c>
      <c r="K114" s="3">
        <v>48.8</v>
      </c>
      <c r="L114" s="3">
        <v>253</v>
      </c>
      <c r="M114" s="3">
        <v>291.2</v>
      </c>
      <c r="N114" s="3">
        <v>0</v>
      </c>
      <c r="O114" s="3">
        <v>0</v>
      </c>
      <c r="P114" s="3">
        <v>4723</v>
      </c>
      <c r="Q114" s="3">
        <v>4477</v>
      </c>
      <c r="R114" s="3">
        <v>0.67</v>
      </c>
      <c r="S114" s="3">
        <v>1426</v>
      </c>
      <c r="T114" s="3">
        <v>1336</v>
      </c>
      <c r="U114" s="3">
        <v>0</v>
      </c>
      <c r="V114" s="3">
        <v>0</v>
      </c>
      <c r="W114" s="3">
        <v>988</v>
      </c>
      <c r="X114" s="3">
        <v>1084</v>
      </c>
      <c r="Y114" s="3">
        <v>2157</v>
      </c>
      <c r="Z114" s="3">
        <v>3366</v>
      </c>
      <c r="AA114" s="3">
        <v>168282</v>
      </c>
      <c r="AB114" s="3">
        <v>67417</v>
      </c>
      <c r="AC114" s="3">
        <v>1294</v>
      </c>
      <c r="AD114" s="3">
        <v>1414</v>
      </c>
      <c r="AE114" s="3">
        <v>1336</v>
      </c>
      <c r="AF114" s="3">
        <v>1426</v>
      </c>
      <c r="AG114" s="3"/>
    </row>
    <row r="115" spans="1:33">
      <c r="A115" s="3"/>
      <c r="B115" s="3"/>
      <c r="C115" s="3" t="s">
        <v>129</v>
      </c>
      <c r="D115" s="3" t="s">
        <v>130</v>
      </c>
      <c r="E115" s="3" t="s">
        <v>43</v>
      </c>
      <c r="F115" s="3" t="s">
        <v>44</v>
      </c>
      <c r="G115" s="3" t="s">
        <v>6</v>
      </c>
      <c r="H115" s="2">
        <v>46251.622708912</v>
      </c>
      <c r="I115" s="3">
        <v>94.86</v>
      </c>
      <c r="J115" s="3" t="s">
        <v>46</v>
      </c>
      <c r="K115" s="3">
        <v>47.8</v>
      </c>
      <c r="L115" s="3">
        <v>272.89999999999998</v>
      </c>
      <c r="M115" s="3">
        <v>267.39999999999998</v>
      </c>
      <c r="N115" s="3">
        <v>0</v>
      </c>
      <c r="O115" s="3">
        <v>0</v>
      </c>
      <c r="P115" s="3">
        <v>5262</v>
      </c>
      <c r="Q115" s="3">
        <v>3748</v>
      </c>
      <c r="R115" s="3">
        <v>0.64</v>
      </c>
      <c r="S115" s="3">
        <v>1242</v>
      </c>
      <c r="T115" s="3">
        <v>1346</v>
      </c>
      <c r="U115" s="3">
        <v>6</v>
      </c>
      <c r="V115" s="3">
        <v>0</v>
      </c>
      <c r="W115" s="3">
        <v>982</v>
      </c>
      <c r="X115" s="3">
        <v>1005</v>
      </c>
      <c r="Y115" s="3">
        <v>2118</v>
      </c>
      <c r="Z115" s="3">
        <v>2398</v>
      </c>
      <c r="AA115" s="3">
        <v>99902</v>
      </c>
      <c r="AB115" s="3">
        <v>62304</v>
      </c>
      <c r="AC115" s="3">
        <v>1346</v>
      </c>
      <c r="AD115" s="3">
        <v>1234</v>
      </c>
      <c r="AE115" s="3">
        <v>1345</v>
      </c>
      <c r="AF115" s="3">
        <v>1242</v>
      </c>
      <c r="AG115" s="3"/>
    </row>
    <row r="116" spans="1:33">
      <c r="A116" s="3"/>
      <c r="B116" s="3"/>
      <c r="C116" s="3" t="s">
        <v>129</v>
      </c>
      <c r="D116" s="3" t="s">
        <v>130</v>
      </c>
      <c r="E116" s="3" t="s">
        <v>43</v>
      </c>
      <c r="F116" s="3" t="s">
        <v>44</v>
      </c>
      <c r="G116" s="3" t="s">
        <v>6</v>
      </c>
      <c r="H116" s="2">
        <v>46251.622708912</v>
      </c>
      <c r="I116" s="3">
        <v>94.86</v>
      </c>
      <c r="J116" s="3" t="s">
        <v>47</v>
      </c>
      <c r="K116" s="3">
        <v>50.4</v>
      </c>
      <c r="L116" s="3">
        <v>254.7</v>
      </c>
      <c r="M116" s="3">
        <v>280.5</v>
      </c>
      <c r="N116" s="3">
        <v>0</v>
      </c>
      <c r="O116" s="3">
        <v>0</v>
      </c>
      <c r="P116" s="3">
        <v>4945</v>
      </c>
      <c r="Q116" s="3">
        <v>4659</v>
      </c>
      <c r="R116" s="3">
        <v>0.76</v>
      </c>
      <c r="S116" s="3">
        <v>1560</v>
      </c>
      <c r="T116" s="3">
        <v>1450</v>
      </c>
      <c r="U116" s="3">
        <v>0</v>
      </c>
      <c r="V116" s="3">
        <v>0</v>
      </c>
      <c r="W116" s="3">
        <v>985</v>
      </c>
      <c r="X116" s="3">
        <v>1033</v>
      </c>
      <c r="Y116" s="3">
        <v>3113</v>
      </c>
      <c r="Z116" s="3">
        <v>2722</v>
      </c>
      <c r="AA116" s="3">
        <v>170102</v>
      </c>
      <c r="AB116" s="3">
        <v>141515</v>
      </c>
      <c r="AC116" s="3">
        <v>1432</v>
      </c>
      <c r="AD116" s="3">
        <v>1560</v>
      </c>
      <c r="AE116" s="3">
        <v>1450</v>
      </c>
      <c r="AF116" s="3">
        <v>1560</v>
      </c>
      <c r="AG116" s="3"/>
    </row>
    <row r="117" spans="1:33">
      <c r="A117" s="3"/>
      <c r="B117" s="3"/>
      <c r="C117" s="3" t="s">
        <v>131</v>
      </c>
      <c r="D117" s="3" t="s">
        <v>132</v>
      </c>
      <c r="E117" s="3" t="s">
        <v>43</v>
      </c>
      <c r="F117" s="3" t="s">
        <v>44</v>
      </c>
      <c r="G117" s="3" t="s">
        <v>6</v>
      </c>
      <c r="H117" s="2">
        <v>46251.621854131903</v>
      </c>
      <c r="I117" s="3">
        <v>87.62</v>
      </c>
      <c r="J117" s="3" t="s">
        <v>45</v>
      </c>
      <c r="K117" s="3">
        <v>42.9</v>
      </c>
      <c r="L117" s="3">
        <v>229.9</v>
      </c>
      <c r="M117" s="3">
        <v>253.4</v>
      </c>
      <c r="N117" s="3">
        <v>0</v>
      </c>
      <c r="O117" s="3">
        <v>0</v>
      </c>
      <c r="P117" s="3">
        <v>2680</v>
      </c>
      <c r="Q117" s="3">
        <v>3845</v>
      </c>
      <c r="R117" s="3">
        <v>0.59</v>
      </c>
      <c r="S117" s="3">
        <v>1258</v>
      </c>
      <c r="T117" s="3">
        <v>1031</v>
      </c>
      <c r="U117" s="3">
        <v>0</v>
      </c>
      <c r="V117" s="3">
        <v>0</v>
      </c>
      <c r="W117" s="3">
        <v>925</v>
      </c>
      <c r="X117" s="3">
        <v>934</v>
      </c>
      <c r="Y117" s="3">
        <v>2674</v>
      </c>
      <c r="Z117" s="3">
        <v>2964</v>
      </c>
      <c r="AA117" s="3">
        <v>47803</v>
      </c>
      <c r="AB117" s="3">
        <v>191032</v>
      </c>
      <c r="AC117" s="3">
        <v>1015</v>
      </c>
      <c r="AD117" s="3">
        <v>1255</v>
      </c>
      <c r="AE117" s="3">
        <v>1031</v>
      </c>
      <c r="AF117" s="3">
        <v>1258</v>
      </c>
      <c r="AG117" s="3"/>
    </row>
    <row r="118" spans="1:33">
      <c r="A118" s="3"/>
      <c r="B118" s="3"/>
      <c r="C118" s="3" t="s">
        <v>131</v>
      </c>
      <c r="D118" s="3" t="s">
        <v>132</v>
      </c>
      <c r="E118" s="3" t="s">
        <v>43</v>
      </c>
      <c r="F118" s="3" t="s">
        <v>44</v>
      </c>
      <c r="G118" s="3" t="s">
        <v>6</v>
      </c>
      <c r="H118" s="2">
        <v>46251.621854131903</v>
      </c>
      <c r="I118" s="3">
        <v>87.62</v>
      </c>
      <c r="J118" s="3" t="s">
        <v>46</v>
      </c>
      <c r="K118" s="3">
        <v>43.3</v>
      </c>
      <c r="L118" s="3">
        <v>224</v>
      </c>
      <c r="M118" s="3">
        <v>251.5</v>
      </c>
      <c r="N118" s="3">
        <v>0</v>
      </c>
      <c r="O118" s="3">
        <v>0</v>
      </c>
      <c r="P118" s="3">
        <v>2949</v>
      </c>
      <c r="Q118" s="3">
        <v>4023</v>
      </c>
      <c r="R118" s="3">
        <v>0.63</v>
      </c>
      <c r="S118" s="3">
        <v>1261</v>
      </c>
      <c r="T118" s="3">
        <v>1099</v>
      </c>
      <c r="U118" s="3">
        <v>0</v>
      </c>
      <c r="V118" s="3">
        <v>14</v>
      </c>
      <c r="W118" s="3">
        <v>918</v>
      </c>
      <c r="X118" s="3">
        <v>968</v>
      </c>
      <c r="Y118" s="3">
        <v>4534</v>
      </c>
      <c r="Z118" s="3">
        <v>4058</v>
      </c>
      <c r="AA118" s="3">
        <v>289840</v>
      </c>
      <c r="AB118" s="3">
        <v>323889</v>
      </c>
      <c r="AC118" s="3">
        <v>1080</v>
      </c>
      <c r="AD118" s="3">
        <v>1261</v>
      </c>
      <c r="AE118" s="3">
        <v>1099</v>
      </c>
      <c r="AF118" s="3">
        <v>1259</v>
      </c>
      <c r="AG118" s="3"/>
    </row>
    <row r="119" spans="1:33">
      <c r="A119" s="3"/>
      <c r="B119" s="3"/>
      <c r="C119" s="3" t="s">
        <v>131</v>
      </c>
      <c r="D119" s="3" t="s">
        <v>132</v>
      </c>
      <c r="E119" s="3" t="s">
        <v>43</v>
      </c>
      <c r="F119" s="3" t="s">
        <v>44</v>
      </c>
      <c r="G119" s="3" t="s">
        <v>6</v>
      </c>
      <c r="H119" s="2">
        <v>46251.621854131903</v>
      </c>
      <c r="I119" s="3">
        <v>87.62</v>
      </c>
      <c r="J119" s="3" t="s">
        <v>47</v>
      </c>
      <c r="K119" s="3">
        <v>44.1</v>
      </c>
      <c r="L119" s="3">
        <v>223.2</v>
      </c>
      <c r="M119" s="3">
        <v>252.7</v>
      </c>
      <c r="N119" s="3">
        <v>0</v>
      </c>
      <c r="O119" s="3">
        <v>0</v>
      </c>
      <c r="P119" s="3">
        <v>3367</v>
      </c>
      <c r="Q119" s="3">
        <v>4351</v>
      </c>
      <c r="R119" s="3">
        <v>0.65</v>
      </c>
      <c r="S119" s="3">
        <v>1283</v>
      </c>
      <c r="T119" s="3">
        <v>1066</v>
      </c>
      <c r="U119" s="3">
        <v>0</v>
      </c>
      <c r="V119" s="3">
        <v>0</v>
      </c>
      <c r="W119" s="3">
        <v>922</v>
      </c>
      <c r="X119" s="3">
        <v>993</v>
      </c>
      <c r="Y119" s="3">
        <v>3044</v>
      </c>
      <c r="Z119" s="3">
        <v>3792</v>
      </c>
      <c r="AA119" s="3">
        <v>270840</v>
      </c>
      <c r="AB119" s="3">
        <v>190278</v>
      </c>
      <c r="AC119" s="3">
        <v>1061</v>
      </c>
      <c r="AD119" s="3">
        <v>1278</v>
      </c>
      <c r="AE119" s="3">
        <v>1066</v>
      </c>
      <c r="AF119" s="3">
        <v>1283</v>
      </c>
      <c r="AG119" s="3"/>
    </row>
    <row r="120" spans="1:33">
      <c r="A120" s="3"/>
      <c r="B120" s="3"/>
      <c r="C120" s="3" t="s">
        <v>96</v>
      </c>
      <c r="D120" s="3" t="s">
        <v>97</v>
      </c>
      <c r="E120" s="3" t="s">
        <v>43</v>
      </c>
      <c r="F120" s="3" t="s">
        <v>44</v>
      </c>
      <c r="G120" s="3" t="s">
        <v>6</v>
      </c>
      <c r="H120" s="2">
        <v>46251.621296759302</v>
      </c>
      <c r="I120" s="3">
        <v>88.05</v>
      </c>
      <c r="J120" s="3" t="s">
        <v>45</v>
      </c>
      <c r="K120" s="3">
        <v>48.4</v>
      </c>
      <c r="L120" s="3">
        <v>237.5</v>
      </c>
      <c r="M120" s="3">
        <v>218.2</v>
      </c>
      <c r="N120" s="3">
        <v>556</v>
      </c>
      <c r="O120" s="3">
        <v>2537</v>
      </c>
      <c r="P120" s="3">
        <v>6520</v>
      </c>
      <c r="Q120" s="3">
        <v>4428</v>
      </c>
      <c r="R120" s="3">
        <v>0.76</v>
      </c>
      <c r="S120" s="3">
        <v>1241</v>
      </c>
      <c r="T120" s="3">
        <v>1365</v>
      </c>
      <c r="U120" s="3">
        <v>24</v>
      </c>
      <c r="V120" s="3">
        <v>62</v>
      </c>
      <c r="W120" s="3">
        <v>1089</v>
      </c>
      <c r="X120" s="3">
        <v>1038</v>
      </c>
      <c r="Y120" s="3">
        <v>4664</v>
      </c>
      <c r="Z120" s="3">
        <v>4249</v>
      </c>
      <c r="AA120" s="3">
        <v>141621</v>
      </c>
      <c r="AB120" s="3">
        <v>179398</v>
      </c>
      <c r="AC120" s="3">
        <v>1365</v>
      </c>
      <c r="AD120" s="3">
        <v>1241</v>
      </c>
      <c r="AE120" s="3">
        <v>1321</v>
      </c>
      <c r="AF120" s="3">
        <v>1101</v>
      </c>
      <c r="AG120" s="3"/>
    </row>
    <row r="121" spans="1:33">
      <c r="A121" s="3"/>
      <c r="B121" s="3"/>
      <c r="C121" s="3" t="s">
        <v>96</v>
      </c>
      <c r="D121" s="3" t="s">
        <v>97</v>
      </c>
      <c r="E121" s="3" t="s">
        <v>43</v>
      </c>
      <c r="F121" s="3" t="s">
        <v>44</v>
      </c>
      <c r="G121" s="3" t="s">
        <v>6</v>
      </c>
      <c r="H121" s="2">
        <v>46251.621296759302</v>
      </c>
      <c r="I121" s="3">
        <v>88.05</v>
      </c>
      <c r="J121" s="3" t="s">
        <v>46</v>
      </c>
      <c r="K121" s="3">
        <v>47.4</v>
      </c>
      <c r="L121" s="3">
        <v>237.6</v>
      </c>
      <c r="M121" s="3">
        <v>242.4</v>
      </c>
      <c r="N121" s="3">
        <v>-600</v>
      </c>
      <c r="O121" s="3">
        <v>1500</v>
      </c>
      <c r="P121" s="3">
        <v>4817</v>
      </c>
      <c r="Q121" s="3">
        <v>4550</v>
      </c>
      <c r="R121" s="3">
        <v>0.69</v>
      </c>
      <c r="S121" s="3">
        <v>1165</v>
      </c>
      <c r="T121" s="3">
        <v>1313</v>
      </c>
      <c r="U121" s="3">
        <v>0</v>
      </c>
      <c r="V121" s="3">
        <v>18</v>
      </c>
      <c r="W121" s="3">
        <v>982</v>
      </c>
      <c r="X121" s="3">
        <v>1050</v>
      </c>
      <c r="Y121" s="3">
        <v>7214</v>
      </c>
      <c r="Z121" s="3">
        <v>5923</v>
      </c>
      <c r="AA121" s="3">
        <v>592264</v>
      </c>
      <c r="AB121" s="3">
        <v>721434</v>
      </c>
      <c r="AC121" s="3">
        <v>1311</v>
      </c>
      <c r="AD121" s="3">
        <v>1165</v>
      </c>
      <c r="AE121" s="3">
        <v>1313</v>
      </c>
      <c r="AF121" s="3">
        <v>1141</v>
      </c>
      <c r="AG121" s="3"/>
    </row>
    <row r="122" spans="1:33">
      <c r="A122" s="3"/>
      <c r="B122" s="3"/>
      <c r="C122" s="3" t="s">
        <v>96</v>
      </c>
      <c r="D122" s="3" t="s">
        <v>97</v>
      </c>
      <c r="E122" s="3" t="s">
        <v>43</v>
      </c>
      <c r="F122" s="3" t="s">
        <v>44</v>
      </c>
      <c r="G122" s="3" t="s">
        <v>6</v>
      </c>
      <c r="H122" s="2">
        <v>46251.621296759302</v>
      </c>
      <c r="I122" s="3">
        <v>88.05</v>
      </c>
      <c r="J122" s="3" t="s">
        <v>47</v>
      </c>
      <c r="K122" s="3">
        <v>48.7</v>
      </c>
      <c r="L122" s="3">
        <v>240.6</v>
      </c>
      <c r="M122" s="3">
        <v>228.9</v>
      </c>
      <c r="N122" s="3">
        <v>2096</v>
      </c>
      <c r="O122" s="3">
        <v>2981</v>
      </c>
      <c r="P122" s="3">
        <v>5035</v>
      </c>
      <c r="Q122" s="3">
        <v>4189</v>
      </c>
      <c r="R122" s="3">
        <v>0.7</v>
      </c>
      <c r="S122" s="3">
        <v>1239</v>
      </c>
      <c r="T122" s="3">
        <v>1287</v>
      </c>
      <c r="U122" s="3">
        <v>52</v>
      </c>
      <c r="V122" s="3">
        <v>60</v>
      </c>
      <c r="W122" s="3">
        <v>1052</v>
      </c>
      <c r="X122" s="3">
        <v>1006</v>
      </c>
      <c r="Y122" s="3">
        <v>5544</v>
      </c>
      <c r="Z122" s="3">
        <v>5784</v>
      </c>
      <c r="AA122" s="3">
        <v>413117</v>
      </c>
      <c r="AB122" s="3">
        <v>462028</v>
      </c>
      <c r="AC122" s="3">
        <v>1287</v>
      </c>
      <c r="AD122" s="3">
        <v>1239</v>
      </c>
      <c r="AE122" s="3">
        <v>1178</v>
      </c>
      <c r="AF122" s="3">
        <v>1081</v>
      </c>
      <c r="AG122" s="3"/>
    </row>
    <row r="123" spans="1:33">
      <c r="A123" s="3"/>
      <c r="B123" s="3"/>
      <c r="C123" s="3" t="s">
        <v>133</v>
      </c>
      <c r="D123" s="3" t="s">
        <v>134</v>
      </c>
      <c r="E123" s="3" t="s">
        <v>43</v>
      </c>
      <c r="F123" s="3" t="s">
        <v>44</v>
      </c>
      <c r="G123" s="3" t="s">
        <v>6</v>
      </c>
      <c r="H123" s="2">
        <v>46251.6208625</v>
      </c>
      <c r="I123" s="3">
        <v>133.69</v>
      </c>
      <c r="J123" s="3" t="s">
        <v>45</v>
      </c>
      <c r="K123" s="3">
        <v>26.4</v>
      </c>
      <c r="L123" s="3">
        <v>309.89999999999998</v>
      </c>
      <c r="M123" s="3">
        <v>344.3</v>
      </c>
      <c r="N123" s="3">
        <v>0</v>
      </c>
      <c r="O123" s="3">
        <v>0</v>
      </c>
      <c r="P123" s="3">
        <v>9103</v>
      </c>
      <c r="Q123" s="3">
        <v>7962</v>
      </c>
      <c r="R123" s="3">
        <v>0.37</v>
      </c>
      <c r="S123" s="3">
        <v>1705</v>
      </c>
      <c r="T123" s="3">
        <v>1642</v>
      </c>
      <c r="U123" s="3">
        <v>0</v>
      </c>
      <c r="V123" s="3">
        <v>0</v>
      </c>
      <c r="W123" s="3">
        <v>1265</v>
      </c>
      <c r="X123" s="3">
        <v>1366</v>
      </c>
      <c r="Y123" s="3">
        <v>3519</v>
      </c>
      <c r="Z123" s="3">
        <v>3991</v>
      </c>
      <c r="AA123" s="3">
        <v>285054</v>
      </c>
      <c r="AB123" s="3">
        <v>175972</v>
      </c>
      <c r="AC123" s="3">
        <v>1579</v>
      </c>
      <c r="AD123" s="3">
        <v>1697</v>
      </c>
      <c r="AE123" s="3">
        <v>1642</v>
      </c>
      <c r="AF123" s="3">
        <v>1705</v>
      </c>
      <c r="AG123" s="3"/>
    </row>
    <row r="124" spans="1:33">
      <c r="A124" s="3"/>
      <c r="B124" s="3"/>
      <c r="C124" s="3" t="s">
        <v>133</v>
      </c>
      <c r="D124" s="3" t="s">
        <v>134</v>
      </c>
      <c r="E124" s="3" t="s">
        <v>43</v>
      </c>
      <c r="F124" s="3" t="s">
        <v>44</v>
      </c>
      <c r="G124" s="3" t="s">
        <v>6</v>
      </c>
      <c r="H124" s="2">
        <v>46251.6208625</v>
      </c>
      <c r="I124" s="3">
        <v>133.69</v>
      </c>
      <c r="J124" s="3" t="s">
        <v>46</v>
      </c>
      <c r="K124" s="3">
        <v>31.1</v>
      </c>
      <c r="L124" s="3">
        <v>355.9</v>
      </c>
      <c r="M124" s="3">
        <v>341.9</v>
      </c>
      <c r="N124" s="3">
        <v>2000</v>
      </c>
      <c r="O124" s="3">
        <v>-500</v>
      </c>
      <c r="P124" s="3">
        <v>5260</v>
      </c>
      <c r="Q124" s="3">
        <v>4544</v>
      </c>
      <c r="R124" s="3">
        <v>0.4</v>
      </c>
      <c r="S124" s="3">
        <v>1562</v>
      </c>
      <c r="T124" s="3">
        <v>1623</v>
      </c>
      <c r="U124" s="3">
        <v>2</v>
      </c>
      <c r="V124" s="3">
        <v>0</v>
      </c>
      <c r="W124" s="3">
        <v>1318</v>
      </c>
      <c r="X124" s="3">
        <v>1254</v>
      </c>
      <c r="Y124" s="3">
        <v>3353</v>
      </c>
      <c r="Z124" s="3">
        <v>1928</v>
      </c>
      <c r="AA124" s="3">
        <v>30121</v>
      </c>
      <c r="AB124" s="3">
        <v>57818</v>
      </c>
      <c r="AC124" s="3">
        <v>1623</v>
      </c>
      <c r="AD124" s="3">
        <v>1559</v>
      </c>
      <c r="AE124" s="3">
        <v>1622</v>
      </c>
      <c r="AF124" s="3">
        <v>1562</v>
      </c>
      <c r="AG124" s="3"/>
    </row>
    <row r="125" spans="1:33">
      <c r="A125" s="3"/>
      <c r="B125" s="3"/>
      <c r="C125" s="3" t="s">
        <v>133</v>
      </c>
      <c r="D125" s="3" t="s">
        <v>134</v>
      </c>
      <c r="E125" s="3" t="s">
        <v>43</v>
      </c>
      <c r="F125" s="3" t="s">
        <v>44</v>
      </c>
      <c r="G125" s="3" t="s">
        <v>6</v>
      </c>
      <c r="H125" s="2">
        <v>46251.6208625</v>
      </c>
      <c r="I125" s="3">
        <v>133.69</v>
      </c>
      <c r="J125" s="3" t="s">
        <v>47</v>
      </c>
      <c r="K125" s="3">
        <v>28.4</v>
      </c>
      <c r="L125" s="3">
        <v>335</v>
      </c>
      <c r="M125" s="3">
        <v>343.7</v>
      </c>
      <c r="N125" s="3">
        <v>1000</v>
      </c>
      <c r="O125" s="3">
        <v>0</v>
      </c>
      <c r="P125" s="3">
        <v>5902</v>
      </c>
      <c r="Q125" s="3">
        <v>5662</v>
      </c>
      <c r="R125" s="3">
        <v>0.39</v>
      </c>
      <c r="S125" s="3">
        <v>1680</v>
      </c>
      <c r="T125" s="3">
        <v>1691</v>
      </c>
      <c r="U125" s="3">
        <v>2</v>
      </c>
      <c r="V125" s="3">
        <v>0</v>
      </c>
      <c r="W125" s="3">
        <v>1216</v>
      </c>
      <c r="X125" s="3">
        <v>1239</v>
      </c>
      <c r="Y125" s="3">
        <v>2865</v>
      </c>
      <c r="Z125" s="3">
        <v>2600</v>
      </c>
      <c r="AA125" s="3">
        <v>43329</v>
      </c>
      <c r="AB125" s="3">
        <v>51169</v>
      </c>
      <c r="AC125" s="3">
        <v>1691</v>
      </c>
      <c r="AD125" s="3">
        <v>1679</v>
      </c>
      <c r="AE125" s="3">
        <v>1690</v>
      </c>
      <c r="AF125" s="3">
        <v>1680</v>
      </c>
      <c r="AG1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SHIELD</cp:lastModifiedBy>
  <cp:revision/>
  <dcterms:created xsi:type="dcterms:W3CDTF">2026-09-17T18:50:33Z</dcterms:created>
  <dcterms:modified xsi:type="dcterms:W3CDTF">2026-09-18T17:31:47Z</dcterms:modified>
  <cp:category/>
  <cp:contentStatus/>
</cp:coreProperties>
</file>
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516"/>
  <workbookPr defaultThemeVersion="166925"/>
  <xr:revisionPtr revIDLastSave="107" documentId="11_E60897F41BE170836B02CE998F75CCDC64E183C8" xr6:coauthVersionLast="47" xr6:coauthVersionMax="47" xr10:uidLastSave="{9325F633-730D-4D55-AFA5-2187A87DDF2A}"/>
  <bookViews>
    <workbookView xWindow="240" yWindow="105" windowWidth="14805" windowHeight="8010" firstSheet="1" xr2:uid="{00000000-000D-0000-FFFF-FFFF00000000}"/>
  </bookViews>
  <sheets>
    <sheet name="Sesion1" sheetId="1" r:id="rId1"/>
    <sheet name="Sesion2" sheetId="2" r:id="rId2"/>
  </sheets>
  <definedNames>
    <definedName name="_xlnm._FilterDatabase" localSheetId="0" hidden="1">Sesion1!$A$9:$AF$33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7" i="1" l="1" a="1"/>
  <c r="D7" i="1"/>
  <c r="D7" i="2" a="1"/>
  <c r="D7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<sst xmlns="http://schemas.openxmlformats.org/spreadsheetml/2006/main" count="420" uniqueCount="75">
  <si>
    <t>ForceDecks Test Results Export</t>
  </si>
  <si>
    <t>Export Date</t>
  </si>
  <si>
    <t>Test Date</t>
  </si>
  <si>
    <t>Export Profile</t>
  </si>
  <si>
    <t>Evaluaciones Borregos CMJ</t>
  </si>
  <si>
    <t>Export Test Type</t>
  </si>
  <si>
    <t>Countermovement Jump</t>
  </si>
  <si>
    <t>Export Trials</t>
  </si>
  <si>
    <t>Results from all trials within a test, one row/column per trial</t>
  </si>
  <si>
    <t>Number of Athletes</t>
  </si>
  <si>
    <t>Forms ID</t>
  </si>
  <si>
    <t>C000 ID</t>
  </si>
  <si>
    <t>Athlete</t>
  </si>
  <si>
    <t>Date of Birth</t>
  </si>
  <si>
    <t>Género</t>
  </si>
  <si>
    <t>Disciplina</t>
  </si>
  <si>
    <t>Test Type</t>
  </si>
  <si>
    <t>Body Weight [kg]</t>
  </si>
  <si>
    <t>Trial</t>
  </si>
  <si>
    <t>Jump Height (Imp-Mom) [cm]</t>
  </si>
  <si>
    <t>Concentric Impulse (Left) [N s]</t>
  </si>
  <si>
    <t>Concentric Impulse (Right) [N s]</t>
  </si>
  <si>
    <t>Concentric RFD (Left) [N/s]</t>
  </si>
  <si>
    <t>Concentric RFD (Right) [N/s]</t>
  </si>
  <si>
    <t>Eccentric Braking RFD (Left) [N/s]</t>
  </si>
  <si>
    <t>Eccentric Braking RFD (Right) [N/s]</t>
  </si>
  <si>
    <t>RSI-modified (Imp-Mom) [m/s]</t>
  </si>
  <si>
    <t>Takeoff Peak Force (Right) [N]</t>
  </si>
  <si>
    <t>Takeoff Peak Force (Left) [N]</t>
  </si>
  <si>
    <t>Concentric Time to Peak Force (Left) [ms]</t>
  </si>
  <si>
    <t>Concentric Time to Peak Force (Right) [ms]</t>
  </si>
  <si>
    <t>Force at Peak Power (Left) [N]</t>
  </si>
  <si>
    <t>Force at Peak Power (Right) [N]</t>
  </si>
  <si>
    <t>Peak Landing Force (Left) [N]</t>
  </si>
  <si>
    <t>Peak Landing Force (Right) [N]</t>
  </si>
  <si>
    <t>Landing RFD (Right) [N/s]</t>
  </si>
  <si>
    <t>Landing RFD (Left) [N/s]</t>
  </si>
  <si>
    <t>Concentric Peak Force (Left) [N]</t>
  </si>
  <si>
    <t>Concentric Peak Force (Right) [N]</t>
  </si>
  <si>
    <t>Eccentric Peak Force (Left) [N]</t>
  </si>
  <si>
    <t>Eccentric Peak Force (Right) [N]</t>
  </si>
  <si>
    <t>C169</t>
  </si>
  <si>
    <t>Andres Lozano</t>
  </si>
  <si>
    <t>27/05/2005</t>
  </si>
  <si>
    <t>Hombre</t>
  </si>
  <si>
    <t>Basketball</t>
  </si>
  <si>
    <t>Trial 1</t>
  </si>
  <si>
    <t>Trial 2</t>
  </si>
  <si>
    <t>Trial 3</t>
  </si>
  <si>
    <t>C105</t>
  </si>
  <si>
    <t>Alan Almirudis</t>
  </si>
  <si>
    <t>25/11/2003</t>
  </si>
  <si>
    <t>C106</t>
  </si>
  <si>
    <t>Javier Castillo</t>
  </si>
  <si>
    <t>22/02/2003</t>
  </si>
  <si>
    <t>C107</t>
  </si>
  <si>
    <t>Jeffrey Bañuelos</t>
  </si>
  <si>
    <t>13/07/2008</t>
  </si>
  <si>
    <t>C166</t>
  </si>
  <si>
    <t>Adrian Borruel</t>
  </si>
  <si>
    <t>22/03/2006</t>
  </si>
  <si>
    <t>C164</t>
  </si>
  <si>
    <t>Juan Munoz</t>
  </si>
  <si>
    <t>25/11/2006</t>
  </si>
  <si>
    <t>C165</t>
  </si>
  <si>
    <t>Kleyberson Contramaestre</t>
  </si>
  <si>
    <t>13/06/2003</t>
  </si>
  <si>
    <t>C111</t>
  </si>
  <si>
    <t>Jose Morales</t>
  </si>
  <si>
    <t>15/10/2008</t>
  </si>
  <si>
    <t>Trial 4</t>
  </si>
  <si>
    <t>Genero</t>
  </si>
  <si>
    <t>C108</t>
  </si>
  <si>
    <t>Gustavo  Rodriguez</t>
  </si>
  <si>
    <t>20/09/2007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</si>
</sst>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\ hh:mm"/>
    <numFmt numFmtId="165" formatCode="0.0"/>
  </numFmts>
  <fonts count="2">
    <font>
      <sz val="11"/>
      <color theme="1"/>
      <name val="Calibri"/>
      <family val="2"/>
      <scheme val="minor"/>
    </font>
    <font>
      <b/>
      <i/>
      <sz val="11"/>
      <color theme="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rgb="FF00000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 applyAlignment="1">
      <alignment horizontal="left" vertical="top"/>
    </xf>
    <xf numFmtId="164" fontId="0" fillId="0" borderId="0" xfId="0" applyNumberFormat="1" applyAlignment="1">
      <alignment horizontal="left" vertical="top"/>
    </xf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left" vertical="top"/>
    </xf>
    <xf numFmtId="165" fontId="0" fillId="0" borderId="0" xfId="0" applyNumberFormat="1" applyAlignment="1">
      <alignment horizontal="left" vertical="top"/>
    </xf>
    <xf numFmtId="1" fontId="0" fillId="0" borderId="0" xfId="0" applyNumberFormat="1" applyAlignment="1">
      <alignment horizontal="left" vertical="top"/>
    </xf>
    <xf numFmtId="2" fontId="0" fillId="0" borderId="0" xfId="0" applyNumberFormat="1" applyAlignment="1">
      <alignment horizontal="left" vertical="top"/>
    </xf>
    <xf numFmtId="0" fontId="0" fillId="0" borderId="0" xfId="0" applyAlignment="1">
      <alignment horizontal="right"/>
    </xf>
    <xf numFmtId="0" fontId="1" fillId="0" borderId="1" xfId="0" applyFont="1" applyBorder="1" applyAlignment="1">
      <alignment horizontal="right" vertical="top"/>
    </xf>
    <xf numFmtId="0" fontId="0" fillId="0" borderId="0" xfId="0" applyAlignment="1">
      <alignment horizontal="right" wrapText="1"/>
    </xf>
    <xf numFmtId="0" fontId="1" fillId="0" borderId="0" xfId="0" applyFont="1" applyAlignment="1">
      <alignment vertical="top"/>
    </xf>
    <xf numFmtId="0" fontId="0" fillId="0" borderId="0" xfId="0" applyAlignment="1">
      <alignment vertical="top"/>
    </xf>
    <xf numFmtId="164" fontId="0" fillId="0" borderId="0" xfId="0" applyNumberFormat="1" applyAlignment="1">
      <alignment vertical="top"/>
    </xf>
    <xf numFmtId="0" fontId="0" fillId="0" borderId="0" xfId="0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33"/>
  <sheetViews>
    <sheetView tabSelected="1" workbookViewId="0">
      <selection activeCell="D3" sqref="D3"/>
    </sheetView>
  </sheetViews>
  <sheetFormatPr defaultRowHeight="15"/>
  <cols>
    <col min="3" max="3" width="26.140625" customWidth="1"/>
    <col min="4" max="4" width="18" customWidth="1"/>
    <col min="8" max="8" width="17" bestFit="1" customWidth="1"/>
  </cols>
  <sheetData>
    <row r="1" spans="1:32">
      <c r="C1" s="1" t="s">
        <v>0</v>
      </c>
    </row>
    <row r="2" spans="1:32">
      <c r="C2" s="1" t="s">
        <v>1</v>
      </c>
      <c r="D2" s="2">
        <v>46280.430000539003</v>
      </c>
      <c r="E2" s="2"/>
      <c r="F2" s="2"/>
    </row>
    <row r="3" spans="1:32">
      <c r="C3" s="1" t="s">
        <v>2</v>
      </c>
      <c r="D3" s="2">
        <v>46244.284263807902</v>
      </c>
      <c r="E3" s="2"/>
      <c r="F3" s="2"/>
    </row>
    <row r="4" spans="1:32">
      <c r="C4" s="1" t="s">
        <v>3</v>
      </c>
      <c r="D4" s="3" t="s">
        <v>4</v>
      </c>
      <c r="E4" s="3"/>
      <c r="F4" s="3"/>
    </row>
    <row r="5" spans="1:32">
      <c r="C5" s="1" t="s">
        <v>5</v>
      </c>
      <c r="D5" s="3" t="s">
        <v>6</v>
      </c>
      <c r="E5" s="3"/>
      <c r="F5" s="3"/>
    </row>
    <row r="6" spans="1:32">
      <c r="C6" s="1" t="s">
        <v>7</v>
      </c>
      <c r="D6" s="3" t="s">
        <v>8</v>
      </c>
      <c r="E6" s="3"/>
      <c r="F6" s="3"/>
    </row>
    <row r="7" spans="1:32">
      <c r="C7" s="1" t="s">
        <v>9</v>
      </c>
      <c r="D7" s="14" cm="1">
        <f t="array" ref="D7">COUNTA(_xlfn._xlws.FILTER(_xlfn.UNIQUE(C10:C200),_xlfn.UNIQUE(C10:C200)&lt;&gt;0))</f>
        <v>8</v>
      </c>
      <c r="E7" s="3"/>
      <c r="F7" s="3"/>
    </row>
    <row r="9" spans="1:32">
      <c r="A9" s="4" t="s">
        <v>10</v>
      </c>
      <c r="B9" s="4" t="s">
        <v>11</v>
      </c>
      <c r="C9" s="4" t="s">
        <v>12</v>
      </c>
      <c r="D9" s="4" t="s">
        <v>13</v>
      </c>
      <c r="E9" s="4" t="s">
        <v>14</v>
      </c>
      <c r="F9" s="4" t="s">
        <v>15</v>
      </c>
      <c r="G9" s="4" t="s">
        <v>16</v>
      </c>
      <c r="H9" s="4" t="s">
        <v>2</v>
      </c>
      <c r="I9" s="4" t="s">
        <v>17</v>
      </c>
      <c r="J9" s="4" t="s">
        <v>18</v>
      </c>
      <c r="K9" s="4" t="s">
        <v>19</v>
      </c>
      <c r="L9" s="4" t="s">
        <v>20</v>
      </c>
      <c r="M9" s="4" t="s">
        <v>21</v>
      </c>
      <c r="N9" s="4" t="s">
        <v>22</v>
      </c>
      <c r="O9" s="4" t="s">
        <v>23</v>
      </c>
      <c r="P9" s="4" t="s">
        <v>24</v>
      </c>
      <c r="Q9" s="4" t="s">
        <v>25</v>
      </c>
      <c r="R9" s="4" t="s">
        <v>26</v>
      </c>
      <c r="S9" s="4" t="s">
        <v>27</v>
      </c>
      <c r="T9" s="4" t="s">
        <v>28</v>
      </c>
      <c r="U9" s="4" t="s">
        <v>29</v>
      </c>
      <c r="V9" s="4" t="s">
        <v>30</v>
      </c>
      <c r="W9" s="4" t="s">
        <v>31</v>
      </c>
      <c r="X9" s="4" t="s">
        <v>32</v>
      </c>
      <c r="Y9" s="4" t="s">
        <v>33</v>
      </c>
      <c r="Z9" s="4" t="s">
        <v>34</v>
      </c>
      <c r="AA9" s="4" t="s">
        <v>35</v>
      </c>
      <c r="AB9" s="4" t="s">
        <v>36</v>
      </c>
      <c r="AC9" s="4" t="s">
        <v>37</v>
      </c>
      <c r="AD9" s="4" t="s">
        <v>38</v>
      </c>
      <c r="AE9" s="4" t="s">
        <v>39</v>
      </c>
      <c r="AF9" s="4" t="s">
        <v>40</v>
      </c>
    </row>
    <row r="10" spans="1:32">
      <c r="A10">
        <v>16</v>
      </c>
      <c r="B10" t="s">
        <v>41</v>
      </c>
      <c r="C10" s="3" t="s">
        <v>42</v>
      </c>
      <c r="D10" s="3" t="s">
        <v>43</v>
      </c>
      <c r="E10" s="3" t="s">
        <v>44</v>
      </c>
      <c r="F10" s="3" t="s">
        <v>45</v>
      </c>
      <c r="G10" s="3" t="s">
        <v>6</v>
      </c>
      <c r="H10" s="2">
        <v>46244.300171793999</v>
      </c>
      <c r="I10" s="3">
        <v>75.37</v>
      </c>
      <c r="J10" s="3" t="s">
        <v>46</v>
      </c>
      <c r="K10" s="5">
        <v>44.2</v>
      </c>
      <c r="L10" s="5">
        <v>209.4</v>
      </c>
      <c r="M10" s="5">
        <v>197.3</v>
      </c>
      <c r="N10" s="6">
        <v>0</v>
      </c>
      <c r="O10" s="6">
        <v>0</v>
      </c>
      <c r="P10" s="6">
        <v>3515</v>
      </c>
      <c r="Q10" s="6">
        <v>2958</v>
      </c>
      <c r="R10" s="7">
        <v>0.65</v>
      </c>
      <c r="S10" s="6">
        <v>916</v>
      </c>
      <c r="T10" s="6">
        <v>1031</v>
      </c>
      <c r="U10" s="6">
        <v>0</v>
      </c>
      <c r="V10" s="6">
        <v>178</v>
      </c>
      <c r="W10" s="6">
        <v>863</v>
      </c>
      <c r="X10" s="6">
        <v>862</v>
      </c>
      <c r="Y10" s="6">
        <v>2026</v>
      </c>
      <c r="Z10" s="6">
        <v>2028</v>
      </c>
      <c r="AA10" s="6">
        <v>28974</v>
      </c>
      <c r="AB10" s="6">
        <v>27377</v>
      </c>
      <c r="AC10" s="6">
        <v>997</v>
      </c>
      <c r="AD10" s="6">
        <v>916</v>
      </c>
      <c r="AE10" s="6">
        <v>1031</v>
      </c>
      <c r="AF10" s="6">
        <v>870</v>
      </c>
    </row>
    <row r="11" spans="1:32">
      <c r="A11">
        <v>16</v>
      </c>
      <c r="B11" t="s">
        <v>41</v>
      </c>
      <c r="C11" s="3" t="s">
        <v>42</v>
      </c>
      <c r="D11" s="3" t="s">
        <v>43</v>
      </c>
      <c r="E11" s="3" t="s">
        <v>44</v>
      </c>
      <c r="F11" s="3" t="s">
        <v>45</v>
      </c>
      <c r="G11" s="3" t="s">
        <v>6</v>
      </c>
      <c r="H11" s="2">
        <v>46244.300171793999</v>
      </c>
      <c r="I11" s="3">
        <v>75.37</v>
      </c>
      <c r="J11" s="3" t="s">
        <v>47</v>
      </c>
      <c r="K11" s="5">
        <v>43.7</v>
      </c>
      <c r="L11" s="5">
        <v>216.6</v>
      </c>
      <c r="M11" s="5">
        <v>208.9</v>
      </c>
      <c r="N11" s="6">
        <v>2000</v>
      </c>
      <c r="O11" s="6">
        <v>-750</v>
      </c>
      <c r="P11" s="6">
        <v>3037</v>
      </c>
      <c r="Q11" s="6">
        <v>2439</v>
      </c>
      <c r="R11" s="7">
        <v>0.62</v>
      </c>
      <c r="S11" s="6">
        <v>870</v>
      </c>
      <c r="T11" s="6">
        <v>932</v>
      </c>
      <c r="U11" s="6">
        <v>16</v>
      </c>
      <c r="V11" s="6">
        <v>200</v>
      </c>
      <c r="W11" s="6">
        <v>824</v>
      </c>
      <c r="X11" s="6">
        <v>826</v>
      </c>
      <c r="Y11" s="6">
        <v>3707</v>
      </c>
      <c r="Z11" s="6">
        <v>3619</v>
      </c>
      <c r="AA11" s="6">
        <v>95241</v>
      </c>
      <c r="AB11" s="6">
        <v>88260</v>
      </c>
      <c r="AC11" s="6">
        <v>932</v>
      </c>
      <c r="AD11" s="6">
        <v>866</v>
      </c>
      <c r="AE11" s="6">
        <v>924</v>
      </c>
      <c r="AF11" s="6">
        <v>870</v>
      </c>
    </row>
    <row r="12" spans="1:32">
      <c r="A12">
        <v>16</v>
      </c>
      <c r="B12" t="s">
        <v>41</v>
      </c>
      <c r="C12" s="3" t="s">
        <v>42</v>
      </c>
      <c r="D12" s="3" t="s">
        <v>43</v>
      </c>
      <c r="E12" s="3" t="s">
        <v>44</v>
      </c>
      <c r="F12" s="3" t="s">
        <v>45</v>
      </c>
      <c r="G12" s="3" t="s">
        <v>6</v>
      </c>
      <c r="H12" s="2">
        <v>46244.300171793999</v>
      </c>
      <c r="I12" s="3">
        <v>75.37</v>
      </c>
      <c r="J12" s="3" t="s">
        <v>48</v>
      </c>
      <c r="K12" s="5">
        <v>44.8</v>
      </c>
      <c r="L12" s="5">
        <v>205.2</v>
      </c>
      <c r="M12" s="5">
        <v>210.7</v>
      </c>
      <c r="N12" s="6">
        <v>0</v>
      </c>
      <c r="O12" s="6">
        <v>0</v>
      </c>
      <c r="P12" s="6">
        <v>2600</v>
      </c>
      <c r="Q12" s="6">
        <v>2803</v>
      </c>
      <c r="R12" s="7">
        <v>0.64</v>
      </c>
      <c r="S12" s="6">
        <v>908</v>
      </c>
      <c r="T12" s="6">
        <v>945</v>
      </c>
      <c r="U12" s="6">
        <v>0</v>
      </c>
      <c r="V12" s="6">
        <v>52</v>
      </c>
      <c r="W12" s="6">
        <v>816</v>
      </c>
      <c r="X12" s="6">
        <v>835</v>
      </c>
      <c r="Y12" s="6">
        <v>2937</v>
      </c>
      <c r="Z12" s="6">
        <v>2846</v>
      </c>
      <c r="AA12" s="6">
        <v>71154</v>
      </c>
      <c r="AB12" s="6">
        <v>77288</v>
      </c>
      <c r="AC12" s="6">
        <v>920</v>
      </c>
      <c r="AD12" s="6">
        <v>908</v>
      </c>
      <c r="AE12" s="6">
        <v>945</v>
      </c>
      <c r="AF12" s="6">
        <v>890</v>
      </c>
    </row>
    <row r="13" spans="1:32">
      <c r="A13">
        <v>136</v>
      </c>
      <c r="B13" t="s">
        <v>49</v>
      </c>
      <c r="C13" s="3" t="s">
        <v>50</v>
      </c>
      <c r="D13" s="3" t="s">
        <v>51</v>
      </c>
      <c r="E13" s="3" t="s">
        <v>44</v>
      </c>
      <c r="F13" s="3" t="s">
        <v>45</v>
      </c>
      <c r="G13" s="3" t="s">
        <v>6</v>
      </c>
      <c r="H13" s="2">
        <v>46244.2967278125</v>
      </c>
      <c r="I13" s="3">
        <v>64.400000000000006</v>
      </c>
      <c r="J13" s="3" t="s">
        <v>46</v>
      </c>
      <c r="K13" s="5">
        <v>48.3</v>
      </c>
      <c r="L13" s="5">
        <v>168.6</v>
      </c>
      <c r="M13" s="5">
        <v>168.3</v>
      </c>
      <c r="N13" s="6">
        <v>1944</v>
      </c>
      <c r="O13" s="6">
        <v>167</v>
      </c>
      <c r="P13" s="6">
        <v>2960</v>
      </c>
      <c r="Q13" s="6">
        <v>3265</v>
      </c>
      <c r="R13" s="7">
        <v>0.74</v>
      </c>
      <c r="S13" s="6">
        <v>940</v>
      </c>
      <c r="T13" s="6">
        <v>940</v>
      </c>
      <c r="U13" s="6">
        <v>36</v>
      </c>
      <c r="V13" s="6">
        <v>6</v>
      </c>
      <c r="W13" s="6">
        <v>785</v>
      </c>
      <c r="X13" s="6">
        <v>798</v>
      </c>
      <c r="Y13" s="6">
        <v>3178</v>
      </c>
      <c r="Z13" s="6">
        <v>2346</v>
      </c>
      <c r="AA13" s="6">
        <v>65164</v>
      </c>
      <c r="AB13" s="6">
        <v>113498</v>
      </c>
      <c r="AC13" s="6">
        <v>940</v>
      </c>
      <c r="AD13" s="6">
        <v>940</v>
      </c>
      <c r="AE13" s="6">
        <v>891</v>
      </c>
      <c r="AF13" s="6">
        <v>933</v>
      </c>
    </row>
    <row r="14" spans="1:32">
      <c r="A14">
        <v>136</v>
      </c>
      <c r="B14" t="s">
        <v>49</v>
      </c>
      <c r="C14" s="3" t="s">
        <v>50</v>
      </c>
      <c r="D14" s="3" t="s">
        <v>51</v>
      </c>
      <c r="E14" s="3" t="s">
        <v>44</v>
      </c>
      <c r="F14" s="3" t="s">
        <v>45</v>
      </c>
      <c r="G14" s="3" t="s">
        <v>6</v>
      </c>
      <c r="H14" s="2">
        <v>46244.2967278125</v>
      </c>
      <c r="I14" s="3">
        <v>64.400000000000006</v>
      </c>
      <c r="J14" s="3" t="s">
        <v>47</v>
      </c>
      <c r="K14" s="5">
        <v>50.1</v>
      </c>
      <c r="L14" s="5">
        <v>170.8</v>
      </c>
      <c r="M14" s="5">
        <v>165.6</v>
      </c>
      <c r="N14" s="6">
        <v>1000</v>
      </c>
      <c r="O14" s="6">
        <v>167</v>
      </c>
      <c r="P14" s="6">
        <v>3425</v>
      </c>
      <c r="Q14" s="6">
        <v>3415</v>
      </c>
      <c r="R14" s="7">
        <v>0.79</v>
      </c>
      <c r="S14" s="6">
        <v>957</v>
      </c>
      <c r="T14" s="6">
        <v>969</v>
      </c>
      <c r="U14" s="6">
        <v>24</v>
      </c>
      <c r="V14" s="6">
        <v>8</v>
      </c>
      <c r="W14" s="6">
        <v>814</v>
      </c>
      <c r="X14" s="6">
        <v>808</v>
      </c>
      <c r="Y14" s="6">
        <v>2171</v>
      </c>
      <c r="Z14" s="6">
        <v>1839</v>
      </c>
      <c r="AA14" s="6">
        <v>45972</v>
      </c>
      <c r="AB14" s="6">
        <v>60304</v>
      </c>
      <c r="AC14" s="6">
        <v>969</v>
      </c>
      <c r="AD14" s="6">
        <v>957</v>
      </c>
      <c r="AE14" s="6">
        <v>945</v>
      </c>
      <c r="AF14" s="6">
        <v>946</v>
      </c>
    </row>
    <row r="15" spans="1:32">
      <c r="A15">
        <v>136</v>
      </c>
      <c r="B15" t="s">
        <v>49</v>
      </c>
      <c r="C15" s="3" t="s">
        <v>50</v>
      </c>
      <c r="D15" s="3" t="s">
        <v>51</v>
      </c>
      <c r="E15" s="3" t="s">
        <v>44</v>
      </c>
      <c r="F15" s="3" t="s">
        <v>45</v>
      </c>
      <c r="G15" s="3" t="s">
        <v>6</v>
      </c>
      <c r="H15" s="2">
        <v>46244.2967278125</v>
      </c>
      <c r="I15" s="3">
        <v>64.400000000000006</v>
      </c>
      <c r="J15" s="3" t="s">
        <v>48</v>
      </c>
      <c r="K15" s="5">
        <v>49.2</v>
      </c>
      <c r="L15" s="5">
        <v>167.8</v>
      </c>
      <c r="M15" s="5">
        <v>167.2</v>
      </c>
      <c r="N15" s="6">
        <v>1643</v>
      </c>
      <c r="O15" s="6">
        <v>750</v>
      </c>
      <c r="P15" s="6">
        <v>3351</v>
      </c>
      <c r="Q15" s="6">
        <v>3404</v>
      </c>
      <c r="R15" s="7">
        <v>0.79</v>
      </c>
      <c r="S15" s="6">
        <v>968</v>
      </c>
      <c r="T15" s="6">
        <v>964</v>
      </c>
      <c r="U15" s="6">
        <v>24</v>
      </c>
      <c r="V15" s="6">
        <v>26</v>
      </c>
      <c r="W15" s="6">
        <v>818</v>
      </c>
      <c r="X15" s="6">
        <v>835</v>
      </c>
      <c r="Y15" s="6">
        <v>2131</v>
      </c>
      <c r="Z15" s="6">
        <v>2547</v>
      </c>
      <c r="AA15" s="6">
        <v>67024</v>
      </c>
      <c r="AB15" s="6">
        <v>56077</v>
      </c>
      <c r="AC15" s="6">
        <v>964</v>
      </c>
      <c r="AD15" s="6">
        <v>968</v>
      </c>
      <c r="AE15" s="6">
        <v>918</v>
      </c>
      <c r="AF15" s="6">
        <v>947</v>
      </c>
    </row>
    <row r="16" spans="1:32">
      <c r="A16">
        <v>110</v>
      </c>
      <c r="B16" t="s">
        <v>52</v>
      </c>
      <c r="C16" s="3" t="s">
        <v>53</v>
      </c>
      <c r="D16" s="3" t="s">
        <v>54</v>
      </c>
      <c r="E16" s="3" t="s">
        <v>44</v>
      </c>
      <c r="F16" s="3" t="s">
        <v>45</v>
      </c>
      <c r="G16" s="3" t="s">
        <v>6</v>
      </c>
      <c r="H16" s="2">
        <v>46244.2909671296</v>
      </c>
      <c r="I16" s="3">
        <v>90.13</v>
      </c>
      <c r="J16" s="3" t="s">
        <v>46</v>
      </c>
      <c r="K16" s="5">
        <v>48.1</v>
      </c>
      <c r="L16" s="5">
        <v>229.4</v>
      </c>
      <c r="M16" s="5">
        <v>266.5</v>
      </c>
      <c r="N16" s="6">
        <v>0</v>
      </c>
      <c r="O16" s="6">
        <v>0</v>
      </c>
      <c r="P16" s="6">
        <v>5684</v>
      </c>
      <c r="Q16" s="6">
        <v>6145</v>
      </c>
      <c r="R16" s="7">
        <v>0.73</v>
      </c>
      <c r="S16" s="6">
        <v>1390</v>
      </c>
      <c r="T16" s="6">
        <v>1330</v>
      </c>
      <c r="U16" s="6">
        <v>0</v>
      </c>
      <c r="V16" s="6">
        <v>0</v>
      </c>
      <c r="W16" s="6">
        <v>927</v>
      </c>
      <c r="X16" s="6">
        <v>1099</v>
      </c>
      <c r="Y16" s="6">
        <v>1266</v>
      </c>
      <c r="Z16" s="6">
        <v>1471</v>
      </c>
      <c r="AA16" s="6">
        <v>81720</v>
      </c>
      <c r="AB16" s="6">
        <v>70358</v>
      </c>
      <c r="AC16" s="6">
        <v>1314</v>
      </c>
      <c r="AD16" s="6">
        <v>1365</v>
      </c>
      <c r="AE16" s="6">
        <v>1330</v>
      </c>
      <c r="AF16" s="6">
        <v>1390</v>
      </c>
    </row>
    <row r="17" spans="1:32">
      <c r="A17">
        <v>110</v>
      </c>
      <c r="B17" t="s">
        <v>52</v>
      </c>
      <c r="C17" s="3" t="s">
        <v>53</v>
      </c>
      <c r="D17" s="3" t="s">
        <v>54</v>
      </c>
      <c r="E17" s="3" t="s">
        <v>44</v>
      </c>
      <c r="F17" s="3" t="s">
        <v>45</v>
      </c>
      <c r="G17" s="3" t="s">
        <v>6</v>
      </c>
      <c r="H17" s="2">
        <v>46244.2909671296</v>
      </c>
      <c r="I17" s="3">
        <v>90.13</v>
      </c>
      <c r="J17" s="3" t="s">
        <v>47</v>
      </c>
      <c r="K17" s="5">
        <v>47.8</v>
      </c>
      <c r="L17" s="5">
        <v>222.9</v>
      </c>
      <c r="M17" s="5">
        <v>271.60000000000002</v>
      </c>
      <c r="N17" s="6">
        <v>0</v>
      </c>
      <c r="O17" s="6">
        <v>0</v>
      </c>
      <c r="P17" s="6">
        <v>4725</v>
      </c>
      <c r="Q17" s="6">
        <v>5791</v>
      </c>
      <c r="R17" s="7">
        <v>0.68</v>
      </c>
      <c r="S17" s="6">
        <v>1409</v>
      </c>
      <c r="T17" s="6">
        <v>1197</v>
      </c>
      <c r="U17" s="6">
        <v>0</v>
      </c>
      <c r="V17" s="6">
        <v>0</v>
      </c>
      <c r="W17" s="6">
        <v>932</v>
      </c>
      <c r="X17" s="6">
        <v>1124</v>
      </c>
      <c r="Y17" s="6">
        <v>1198</v>
      </c>
      <c r="Z17" s="6">
        <v>1506</v>
      </c>
      <c r="AA17" s="6">
        <v>31374</v>
      </c>
      <c r="AB17" s="6">
        <v>85603</v>
      </c>
      <c r="AC17" s="6">
        <v>1184</v>
      </c>
      <c r="AD17" s="6">
        <v>1400</v>
      </c>
      <c r="AE17" s="6">
        <v>1197</v>
      </c>
      <c r="AF17" s="6">
        <v>1409</v>
      </c>
    </row>
    <row r="18" spans="1:32">
      <c r="A18">
        <v>110</v>
      </c>
      <c r="B18" t="s">
        <v>52</v>
      </c>
      <c r="C18" s="3" t="s">
        <v>53</v>
      </c>
      <c r="D18" s="3" t="s">
        <v>54</v>
      </c>
      <c r="E18" s="3" t="s">
        <v>44</v>
      </c>
      <c r="F18" s="3" t="s">
        <v>45</v>
      </c>
      <c r="G18" s="3" t="s">
        <v>6</v>
      </c>
      <c r="H18" s="2">
        <v>46244.2909671296</v>
      </c>
      <c r="I18" s="3">
        <v>90.13</v>
      </c>
      <c r="J18" s="3" t="s">
        <v>48</v>
      </c>
      <c r="K18" s="5">
        <v>47.6</v>
      </c>
      <c r="L18" s="5">
        <v>233.1</v>
      </c>
      <c r="M18" s="5">
        <v>251.2</v>
      </c>
      <c r="N18" s="6">
        <v>0</v>
      </c>
      <c r="O18" s="6">
        <v>0</v>
      </c>
      <c r="P18" s="6">
        <v>5329</v>
      </c>
      <c r="Q18" s="6">
        <v>5982</v>
      </c>
      <c r="R18" s="7">
        <v>0.73</v>
      </c>
      <c r="S18" s="6">
        <v>1364</v>
      </c>
      <c r="T18" s="6">
        <v>1256</v>
      </c>
      <c r="U18" s="6">
        <v>24</v>
      </c>
      <c r="V18" s="6">
        <v>0</v>
      </c>
      <c r="W18" s="6">
        <v>981</v>
      </c>
      <c r="X18" s="6">
        <v>1088</v>
      </c>
      <c r="Y18" s="6">
        <v>1832</v>
      </c>
      <c r="Z18" s="6">
        <v>1240</v>
      </c>
      <c r="AA18" s="6">
        <v>77497</v>
      </c>
      <c r="AB18" s="6">
        <v>26178</v>
      </c>
      <c r="AC18" s="6">
        <v>1248</v>
      </c>
      <c r="AD18" s="6">
        <v>1349</v>
      </c>
      <c r="AE18" s="6">
        <v>1256</v>
      </c>
      <c r="AF18" s="6">
        <v>1364</v>
      </c>
    </row>
    <row r="19" spans="1:32">
      <c r="A19">
        <v>108</v>
      </c>
      <c r="B19" t="s">
        <v>55</v>
      </c>
      <c r="C19" s="3" t="s">
        <v>56</v>
      </c>
      <c r="D19" s="3" t="s">
        <v>57</v>
      </c>
      <c r="E19" s="3" t="s">
        <v>44</v>
      </c>
      <c r="F19" s="3" t="s">
        <v>45</v>
      </c>
      <c r="G19" s="3" t="s">
        <v>6</v>
      </c>
      <c r="H19" s="2">
        <v>46244.285251701403</v>
      </c>
      <c r="I19" s="3">
        <v>69.45</v>
      </c>
      <c r="J19" s="3" t="s">
        <v>46</v>
      </c>
      <c r="K19" s="5">
        <v>40.1</v>
      </c>
      <c r="L19" s="5">
        <v>162.1</v>
      </c>
      <c r="M19" s="5">
        <v>191.9</v>
      </c>
      <c r="N19" s="6">
        <v>0</v>
      </c>
      <c r="O19" s="6">
        <v>0</v>
      </c>
      <c r="P19" s="6">
        <v>3652</v>
      </c>
      <c r="Q19" s="6">
        <v>3213</v>
      </c>
      <c r="R19" s="7">
        <v>0.63</v>
      </c>
      <c r="S19" s="6">
        <v>1077</v>
      </c>
      <c r="T19" s="6">
        <v>814</v>
      </c>
      <c r="U19" s="6">
        <v>20</v>
      </c>
      <c r="V19" s="6">
        <v>0</v>
      </c>
      <c r="W19" s="6">
        <v>746</v>
      </c>
      <c r="X19" s="6">
        <v>842</v>
      </c>
      <c r="Y19" s="6">
        <v>1556</v>
      </c>
      <c r="Z19" s="6">
        <v>1233</v>
      </c>
      <c r="AA19" s="6">
        <v>18684</v>
      </c>
      <c r="AB19" s="6">
        <v>24311</v>
      </c>
      <c r="AC19" s="6">
        <v>814</v>
      </c>
      <c r="AD19" s="6">
        <v>1048</v>
      </c>
      <c r="AE19" s="6">
        <v>808</v>
      </c>
      <c r="AF19" s="6">
        <v>1077</v>
      </c>
    </row>
    <row r="20" spans="1:32">
      <c r="A20">
        <v>108</v>
      </c>
      <c r="B20" t="s">
        <v>55</v>
      </c>
      <c r="C20" s="3" t="s">
        <v>56</v>
      </c>
      <c r="D20" s="3" t="s">
        <v>57</v>
      </c>
      <c r="E20" s="3" t="s">
        <v>44</v>
      </c>
      <c r="F20" s="3" t="s">
        <v>45</v>
      </c>
      <c r="G20" s="3" t="s">
        <v>6</v>
      </c>
      <c r="H20" s="2">
        <v>46244.285251701403</v>
      </c>
      <c r="I20" s="3">
        <v>69.45</v>
      </c>
      <c r="J20" s="3" t="s">
        <v>47</v>
      </c>
      <c r="K20" s="5">
        <v>39.5</v>
      </c>
      <c r="L20" s="5">
        <v>156.69999999999999</v>
      </c>
      <c r="M20" s="5">
        <v>191.8</v>
      </c>
      <c r="N20" s="6">
        <v>0</v>
      </c>
      <c r="O20" s="6">
        <v>0</v>
      </c>
      <c r="P20" s="6">
        <v>3836</v>
      </c>
      <c r="Q20" s="6">
        <v>4798</v>
      </c>
      <c r="R20" s="7">
        <v>0.59</v>
      </c>
      <c r="S20" s="6">
        <v>1055</v>
      </c>
      <c r="T20" s="6">
        <v>847</v>
      </c>
      <c r="U20" s="6">
        <v>0</v>
      </c>
      <c r="V20" s="6">
        <v>0</v>
      </c>
      <c r="W20" s="6">
        <v>725</v>
      </c>
      <c r="X20" s="6">
        <v>852</v>
      </c>
      <c r="Y20" s="6">
        <v>1474</v>
      </c>
      <c r="Z20" s="6">
        <v>1778</v>
      </c>
      <c r="AA20" s="6">
        <v>27784</v>
      </c>
      <c r="AB20" s="6">
        <v>19394</v>
      </c>
      <c r="AC20" s="6">
        <v>847</v>
      </c>
      <c r="AD20" s="6">
        <v>1054</v>
      </c>
      <c r="AE20" s="6">
        <v>847</v>
      </c>
      <c r="AF20" s="6">
        <v>1055</v>
      </c>
    </row>
    <row r="21" spans="1:32">
      <c r="A21">
        <v>108</v>
      </c>
      <c r="B21" t="s">
        <v>55</v>
      </c>
      <c r="C21" s="3" t="s">
        <v>56</v>
      </c>
      <c r="D21" s="3" t="s">
        <v>57</v>
      </c>
      <c r="E21" s="3" t="s">
        <v>44</v>
      </c>
      <c r="F21" s="3" t="s">
        <v>45</v>
      </c>
      <c r="G21" s="3" t="s">
        <v>6</v>
      </c>
      <c r="H21" s="2">
        <v>46244.285251701403</v>
      </c>
      <c r="I21" s="3">
        <v>69.45</v>
      </c>
      <c r="J21" s="3" t="s">
        <v>48</v>
      </c>
      <c r="K21" s="5">
        <v>39</v>
      </c>
      <c r="L21" s="5">
        <v>154.9</v>
      </c>
      <c r="M21" s="5">
        <v>187.1</v>
      </c>
      <c r="N21" s="6">
        <v>1500</v>
      </c>
      <c r="O21" s="6">
        <v>-1000</v>
      </c>
      <c r="P21" s="6">
        <v>3932</v>
      </c>
      <c r="Q21" s="6">
        <v>4937</v>
      </c>
      <c r="R21" s="7">
        <v>0.63</v>
      </c>
      <c r="S21" s="6">
        <v>1067</v>
      </c>
      <c r="T21" s="6">
        <v>965</v>
      </c>
      <c r="U21" s="6">
        <v>2</v>
      </c>
      <c r="V21" s="6">
        <v>20</v>
      </c>
      <c r="W21" s="6">
        <v>685</v>
      </c>
      <c r="X21" s="6">
        <v>851</v>
      </c>
      <c r="Y21" s="6">
        <v>982</v>
      </c>
      <c r="Z21" s="6">
        <v>1016</v>
      </c>
      <c r="AA21" s="6">
        <v>11291</v>
      </c>
      <c r="AB21" s="6">
        <v>11418</v>
      </c>
      <c r="AC21" s="6">
        <v>965</v>
      </c>
      <c r="AD21" s="6">
        <v>1067</v>
      </c>
      <c r="AE21" s="6">
        <v>965</v>
      </c>
      <c r="AF21" s="6">
        <v>1062</v>
      </c>
    </row>
    <row r="22" spans="1:32">
      <c r="A22">
        <v>17</v>
      </c>
      <c r="B22" t="s">
        <v>58</v>
      </c>
      <c r="C22" s="3" t="s">
        <v>59</v>
      </c>
      <c r="D22" s="3" t="s">
        <v>60</v>
      </c>
      <c r="E22" s="3" t="s">
        <v>44</v>
      </c>
      <c r="F22" s="3" t="s">
        <v>45</v>
      </c>
      <c r="G22" s="3" t="s">
        <v>6</v>
      </c>
      <c r="H22" s="2">
        <v>46244.284019560197</v>
      </c>
      <c r="I22" s="3">
        <v>93.08</v>
      </c>
      <c r="J22" s="3" t="s">
        <v>46</v>
      </c>
      <c r="K22" s="5">
        <v>34.9</v>
      </c>
      <c r="L22" s="5">
        <v>219</v>
      </c>
      <c r="M22" s="5">
        <v>245.2</v>
      </c>
      <c r="N22" s="6">
        <v>1500</v>
      </c>
      <c r="O22" s="6">
        <v>-500</v>
      </c>
      <c r="P22" s="6">
        <v>4389</v>
      </c>
      <c r="Q22" s="6">
        <v>4519</v>
      </c>
      <c r="R22" s="7">
        <v>0.51</v>
      </c>
      <c r="S22" s="6">
        <v>1236</v>
      </c>
      <c r="T22" s="6">
        <v>1108</v>
      </c>
      <c r="U22" s="6">
        <v>2</v>
      </c>
      <c r="V22" s="6">
        <v>0</v>
      </c>
      <c r="W22" s="6">
        <v>989</v>
      </c>
      <c r="X22" s="6">
        <v>1170</v>
      </c>
      <c r="Y22" s="6">
        <v>3765</v>
      </c>
      <c r="Z22" s="6">
        <v>2769</v>
      </c>
      <c r="AA22" s="6">
        <v>60199</v>
      </c>
      <c r="AB22" s="6">
        <v>81846</v>
      </c>
      <c r="AC22" s="6">
        <v>1103</v>
      </c>
      <c r="AD22" s="6">
        <v>1234</v>
      </c>
      <c r="AE22" s="6">
        <v>1108</v>
      </c>
      <c r="AF22" s="6">
        <v>1236</v>
      </c>
    </row>
    <row r="23" spans="1:32">
      <c r="A23">
        <v>17</v>
      </c>
      <c r="B23" t="s">
        <v>58</v>
      </c>
      <c r="C23" s="3" t="s">
        <v>59</v>
      </c>
      <c r="D23" s="3" t="s">
        <v>60</v>
      </c>
      <c r="E23" s="3" t="s">
        <v>44</v>
      </c>
      <c r="F23" s="3" t="s">
        <v>45</v>
      </c>
      <c r="G23" s="3" t="s">
        <v>6</v>
      </c>
      <c r="H23" s="2">
        <v>46244.284019560197</v>
      </c>
      <c r="I23" s="3">
        <v>93.08</v>
      </c>
      <c r="J23" s="3" t="s">
        <v>47</v>
      </c>
      <c r="K23" s="5">
        <v>38.1</v>
      </c>
      <c r="L23" s="5">
        <v>217.1</v>
      </c>
      <c r="M23" s="5">
        <v>270</v>
      </c>
      <c r="N23" s="6">
        <v>-500</v>
      </c>
      <c r="O23" s="6">
        <v>1500</v>
      </c>
      <c r="P23" s="6">
        <v>3992</v>
      </c>
      <c r="Q23" s="6">
        <v>4548</v>
      </c>
      <c r="R23" s="7">
        <v>0.52</v>
      </c>
      <c r="S23" s="6">
        <v>1311</v>
      </c>
      <c r="T23" s="6">
        <v>1100</v>
      </c>
      <c r="U23" s="6">
        <v>0</v>
      </c>
      <c r="V23" s="6">
        <v>2</v>
      </c>
      <c r="W23" s="6">
        <v>871</v>
      </c>
      <c r="X23" s="6">
        <v>1087</v>
      </c>
      <c r="Y23" s="6">
        <v>2493</v>
      </c>
      <c r="Z23" s="6">
        <v>2826</v>
      </c>
      <c r="AA23" s="6">
        <v>58879</v>
      </c>
      <c r="AB23" s="6">
        <v>44517</v>
      </c>
      <c r="AC23" s="6">
        <v>1082</v>
      </c>
      <c r="AD23" s="6">
        <v>1311</v>
      </c>
      <c r="AE23" s="6">
        <v>1100</v>
      </c>
      <c r="AF23" s="6">
        <v>1311</v>
      </c>
    </row>
    <row r="24" spans="1:32">
      <c r="A24">
        <v>17</v>
      </c>
      <c r="B24" t="s">
        <v>58</v>
      </c>
      <c r="C24" s="3" t="s">
        <v>59</v>
      </c>
      <c r="D24" s="3" t="s">
        <v>60</v>
      </c>
      <c r="E24" s="3" t="s">
        <v>44</v>
      </c>
      <c r="F24" s="3" t="s">
        <v>45</v>
      </c>
      <c r="G24" s="3" t="s">
        <v>6</v>
      </c>
      <c r="H24" s="2">
        <v>46244.284019560197</v>
      </c>
      <c r="I24" s="3">
        <v>93.08</v>
      </c>
      <c r="J24" s="3" t="s">
        <v>48</v>
      </c>
      <c r="K24" s="5">
        <v>36.1</v>
      </c>
      <c r="L24" s="5">
        <v>208.4</v>
      </c>
      <c r="M24" s="5">
        <v>266.60000000000002</v>
      </c>
      <c r="N24" s="6">
        <v>250</v>
      </c>
      <c r="O24" s="6">
        <v>0</v>
      </c>
      <c r="P24" s="6">
        <v>3228</v>
      </c>
      <c r="Q24" s="6">
        <v>4101</v>
      </c>
      <c r="R24" s="7">
        <v>0.49</v>
      </c>
      <c r="S24" s="6">
        <v>1318</v>
      </c>
      <c r="T24" s="6">
        <v>959</v>
      </c>
      <c r="U24" s="6">
        <v>140</v>
      </c>
      <c r="V24" s="6">
        <v>0</v>
      </c>
      <c r="W24" s="6">
        <v>899</v>
      </c>
      <c r="X24" s="6">
        <v>1154</v>
      </c>
      <c r="Y24" s="6">
        <v>3290</v>
      </c>
      <c r="Z24" s="6">
        <v>2842</v>
      </c>
      <c r="AA24" s="6">
        <v>71054</v>
      </c>
      <c r="AB24" s="6">
        <v>96763</v>
      </c>
      <c r="AC24" s="6">
        <v>959</v>
      </c>
      <c r="AD24" s="6">
        <v>1317</v>
      </c>
      <c r="AE24" s="6">
        <v>954</v>
      </c>
      <c r="AF24" s="6">
        <v>1318</v>
      </c>
    </row>
    <row r="25" spans="1:32">
      <c r="A25">
        <v>119</v>
      </c>
      <c r="B25" t="s">
        <v>61</v>
      </c>
      <c r="C25" s="3" t="s">
        <v>62</v>
      </c>
      <c r="D25" s="3" t="s">
        <v>63</v>
      </c>
      <c r="E25" s="3" t="s">
        <v>44</v>
      </c>
      <c r="F25" s="3" t="s">
        <v>45</v>
      </c>
      <c r="G25" s="3" t="s">
        <v>6</v>
      </c>
      <c r="H25" s="2">
        <v>46244.286106863401</v>
      </c>
      <c r="I25" s="3">
        <v>95.38</v>
      </c>
      <c r="J25" s="3" t="s">
        <v>46</v>
      </c>
      <c r="K25" s="5">
        <v>39.700000000000003</v>
      </c>
      <c r="L25" s="5">
        <v>254.8</v>
      </c>
      <c r="M25" s="5">
        <v>252.5</v>
      </c>
      <c r="N25" s="6">
        <v>0</v>
      </c>
      <c r="O25" s="6">
        <v>0</v>
      </c>
      <c r="P25" s="6">
        <v>4847</v>
      </c>
      <c r="Q25" s="6">
        <v>4885</v>
      </c>
      <c r="R25" s="7">
        <v>0.56999999999999995</v>
      </c>
      <c r="S25" s="6">
        <v>1250</v>
      </c>
      <c r="T25" s="6">
        <v>1313</v>
      </c>
      <c r="U25" s="6">
        <v>0</v>
      </c>
      <c r="V25" s="6">
        <v>2</v>
      </c>
      <c r="W25" s="6">
        <v>953</v>
      </c>
      <c r="X25" s="6">
        <v>964</v>
      </c>
      <c r="Y25" s="6">
        <v>1440</v>
      </c>
      <c r="Z25" s="6">
        <v>2258</v>
      </c>
      <c r="AA25" s="6">
        <v>32256</v>
      </c>
      <c r="AB25" s="6">
        <v>17566</v>
      </c>
      <c r="AC25" s="6">
        <v>1309</v>
      </c>
      <c r="AD25" s="6">
        <v>1250</v>
      </c>
      <c r="AE25" s="6">
        <v>1313</v>
      </c>
      <c r="AF25" s="6">
        <v>1250</v>
      </c>
    </row>
    <row r="26" spans="1:32">
      <c r="A26">
        <v>119</v>
      </c>
      <c r="B26" t="s">
        <v>61</v>
      </c>
      <c r="C26" s="3" t="s">
        <v>62</v>
      </c>
      <c r="D26" s="3" t="s">
        <v>63</v>
      </c>
      <c r="E26" s="3" t="s">
        <v>44</v>
      </c>
      <c r="F26" s="3" t="s">
        <v>45</v>
      </c>
      <c r="G26" s="3" t="s">
        <v>6</v>
      </c>
      <c r="H26" s="2">
        <v>46244.286106863401</v>
      </c>
      <c r="I26" s="3">
        <v>95.38</v>
      </c>
      <c r="J26" s="3" t="s">
        <v>47</v>
      </c>
      <c r="K26" s="5">
        <v>41.5</v>
      </c>
      <c r="L26" s="5">
        <v>259.3</v>
      </c>
      <c r="M26" s="5">
        <v>262</v>
      </c>
      <c r="N26" s="6">
        <v>0</v>
      </c>
      <c r="O26" s="6">
        <v>0</v>
      </c>
      <c r="P26" s="6">
        <v>4720</v>
      </c>
      <c r="Q26" s="6">
        <v>5248</v>
      </c>
      <c r="R26" s="7">
        <v>0.56999999999999995</v>
      </c>
      <c r="S26" s="6">
        <v>1332</v>
      </c>
      <c r="T26" s="6">
        <v>1316</v>
      </c>
      <c r="U26" s="6">
        <v>0</v>
      </c>
      <c r="V26" s="6">
        <v>0</v>
      </c>
      <c r="W26" s="6">
        <v>910</v>
      </c>
      <c r="X26" s="6">
        <v>924</v>
      </c>
      <c r="Y26" s="6">
        <v>2194</v>
      </c>
      <c r="Z26" s="6">
        <v>2514</v>
      </c>
      <c r="AA26" s="6">
        <v>36970</v>
      </c>
      <c r="AB26" s="6">
        <v>40638</v>
      </c>
      <c r="AC26" s="6">
        <v>1316</v>
      </c>
      <c r="AD26" s="6">
        <v>1332</v>
      </c>
      <c r="AE26" s="6">
        <v>1316</v>
      </c>
      <c r="AF26" s="6">
        <v>1332</v>
      </c>
    </row>
    <row r="27" spans="1:32">
      <c r="A27">
        <v>119</v>
      </c>
      <c r="B27" t="s">
        <v>61</v>
      </c>
      <c r="C27" s="3" t="s">
        <v>62</v>
      </c>
      <c r="D27" s="3" t="s">
        <v>63</v>
      </c>
      <c r="E27" s="3" t="s">
        <v>44</v>
      </c>
      <c r="F27" s="3" t="s">
        <v>45</v>
      </c>
      <c r="G27" s="3" t="s">
        <v>6</v>
      </c>
      <c r="H27" s="2">
        <v>46244.286106863401</v>
      </c>
      <c r="I27" s="3">
        <v>95.38</v>
      </c>
      <c r="J27" s="3" t="s">
        <v>48</v>
      </c>
      <c r="K27" s="5">
        <v>41.6</v>
      </c>
      <c r="L27" s="5">
        <v>261.10000000000002</v>
      </c>
      <c r="M27" s="5">
        <v>255.6</v>
      </c>
      <c r="N27" s="6">
        <v>250</v>
      </c>
      <c r="O27" s="6">
        <v>500</v>
      </c>
      <c r="P27" s="6">
        <v>4161</v>
      </c>
      <c r="Q27" s="6">
        <v>4023</v>
      </c>
      <c r="R27" s="7">
        <v>0.56000000000000005</v>
      </c>
      <c r="S27" s="6">
        <v>1312</v>
      </c>
      <c r="T27" s="6">
        <v>1381</v>
      </c>
      <c r="U27" s="6">
        <v>6</v>
      </c>
      <c r="V27" s="6">
        <v>4</v>
      </c>
      <c r="W27" s="6">
        <v>935</v>
      </c>
      <c r="X27" s="6">
        <v>921</v>
      </c>
      <c r="Y27" s="6">
        <v>1179</v>
      </c>
      <c r="Z27" s="6">
        <v>1331</v>
      </c>
      <c r="AA27" s="6">
        <v>24647</v>
      </c>
      <c r="AB27" s="6">
        <v>24572</v>
      </c>
      <c r="AC27" s="6">
        <v>1381</v>
      </c>
      <c r="AD27" s="6">
        <v>1312</v>
      </c>
      <c r="AE27" s="6">
        <v>1379</v>
      </c>
      <c r="AF27" s="6">
        <v>1308</v>
      </c>
    </row>
    <row r="28" spans="1:32">
      <c r="A28">
        <v>107</v>
      </c>
      <c r="B28" t="s">
        <v>64</v>
      </c>
      <c r="C28" s="3" t="s">
        <v>65</v>
      </c>
      <c r="D28" s="3" t="s">
        <v>66</v>
      </c>
      <c r="E28" s="3" t="s">
        <v>44</v>
      </c>
      <c r="F28" s="3" t="s">
        <v>45</v>
      </c>
      <c r="G28" s="3" t="s">
        <v>6</v>
      </c>
      <c r="H28" s="2">
        <v>46244.284263807902</v>
      </c>
      <c r="I28" s="3">
        <v>72.27</v>
      </c>
      <c r="J28" s="3" t="s">
        <v>46</v>
      </c>
      <c r="K28" s="5">
        <v>46.8</v>
      </c>
      <c r="L28" s="5">
        <v>212.3</v>
      </c>
      <c r="M28" s="5">
        <v>223.7</v>
      </c>
      <c r="N28" s="6">
        <v>0</v>
      </c>
      <c r="O28" s="6">
        <v>0</v>
      </c>
      <c r="P28" s="6">
        <v>3514</v>
      </c>
      <c r="Q28" s="6">
        <v>3451</v>
      </c>
      <c r="R28" s="7">
        <v>0.59</v>
      </c>
      <c r="S28" s="6">
        <v>1083</v>
      </c>
      <c r="T28" s="6">
        <v>1012</v>
      </c>
      <c r="U28" s="6">
        <v>0</v>
      </c>
      <c r="V28" s="6">
        <v>0</v>
      </c>
      <c r="W28" s="6">
        <v>710</v>
      </c>
      <c r="X28" s="6">
        <v>718</v>
      </c>
      <c r="Y28" s="6">
        <v>2665</v>
      </c>
      <c r="Z28" s="6">
        <v>3506</v>
      </c>
      <c r="AA28" s="6">
        <v>250425</v>
      </c>
      <c r="AB28" s="6">
        <v>148080</v>
      </c>
      <c r="AC28" s="6">
        <v>1003</v>
      </c>
      <c r="AD28" s="6">
        <v>1066</v>
      </c>
      <c r="AE28" s="6">
        <v>1012</v>
      </c>
      <c r="AF28" s="6">
        <v>1083</v>
      </c>
    </row>
    <row r="29" spans="1:32">
      <c r="A29">
        <v>107</v>
      </c>
      <c r="B29" t="s">
        <v>64</v>
      </c>
      <c r="C29" s="3" t="s">
        <v>65</v>
      </c>
      <c r="D29" s="3" t="s">
        <v>66</v>
      </c>
      <c r="E29" s="3" t="s">
        <v>44</v>
      </c>
      <c r="F29" s="3" t="s">
        <v>45</v>
      </c>
      <c r="G29" s="3" t="s">
        <v>6</v>
      </c>
      <c r="H29" s="2">
        <v>46244.284263807902</v>
      </c>
      <c r="I29" s="3">
        <v>72.27</v>
      </c>
      <c r="J29" s="3" t="s">
        <v>47</v>
      </c>
      <c r="K29" s="5">
        <v>46.2</v>
      </c>
      <c r="L29" s="5">
        <v>221</v>
      </c>
      <c r="M29" s="5">
        <v>214.8</v>
      </c>
      <c r="N29" s="6">
        <v>0</v>
      </c>
      <c r="O29" s="6">
        <v>0</v>
      </c>
      <c r="P29" s="6">
        <v>3841</v>
      </c>
      <c r="Q29" s="6">
        <v>4085</v>
      </c>
      <c r="R29" s="7">
        <v>0.6</v>
      </c>
      <c r="S29" s="6">
        <v>1044</v>
      </c>
      <c r="T29" s="6">
        <v>1036</v>
      </c>
      <c r="U29" s="6">
        <v>2</v>
      </c>
      <c r="V29" s="6">
        <v>0</v>
      </c>
      <c r="W29" s="6">
        <v>724</v>
      </c>
      <c r="X29" s="6">
        <v>737</v>
      </c>
      <c r="Y29" s="6">
        <v>2861</v>
      </c>
      <c r="Z29" s="6">
        <v>2648</v>
      </c>
      <c r="AA29" s="6">
        <v>132398</v>
      </c>
      <c r="AB29" s="6">
        <v>130066</v>
      </c>
      <c r="AC29" s="6">
        <v>1030</v>
      </c>
      <c r="AD29" s="6">
        <v>1023</v>
      </c>
      <c r="AE29" s="6">
        <v>1036</v>
      </c>
      <c r="AF29" s="6">
        <v>1044</v>
      </c>
    </row>
    <row r="30" spans="1:32">
      <c r="A30">
        <v>107</v>
      </c>
      <c r="B30" t="s">
        <v>64</v>
      </c>
      <c r="C30" s="3" t="s">
        <v>65</v>
      </c>
      <c r="D30" s="3" t="s">
        <v>66</v>
      </c>
      <c r="E30" s="3" t="s">
        <v>44</v>
      </c>
      <c r="F30" s="3" t="s">
        <v>45</v>
      </c>
      <c r="G30" s="3" t="s">
        <v>6</v>
      </c>
      <c r="H30" s="2">
        <v>46244.284263807902</v>
      </c>
      <c r="I30" s="3">
        <v>72.27</v>
      </c>
      <c r="J30" s="3" t="s">
        <v>48</v>
      </c>
      <c r="K30" s="5">
        <v>45.9</v>
      </c>
      <c r="L30" s="5">
        <v>213.4</v>
      </c>
      <c r="M30" s="5">
        <v>212</v>
      </c>
      <c r="N30" s="6">
        <v>0</v>
      </c>
      <c r="O30" s="6">
        <v>0</v>
      </c>
      <c r="P30" s="6">
        <v>4568</v>
      </c>
      <c r="Q30" s="6">
        <v>4475</v>
      </c>
      <c r="R30" s="7">
        <v>0.57999999999999996</v>
      </c>
      <c r="S30" s="6">
        <v>1095</v>
      </c>
      <c r="T30" s="6">
        <v>1041</v>
      </c>
      <c r="U30" s="6">
        <v>0</v>
      </c>
      <c r="V30" s="6">
        <v>0</v>
      </c>
      <c r="W30" s="6">
        <v>726</v>
      </c>
      <c r="X30" s="6">
        <v>723</v>
      </c>
      <c r="Y30" s="6">
        <v>3150</v>
      </c>
      <c r="Z30" s="6">
        <v>2384</v>
      </c>
      <c r="AA30" s="6">
        <v>170282</v>
      </c>
      <c r="AB30" s="6">
        <v>262537</v>
      </c>
      <c r="AC30" s="6">
        <v>1021</v>
      </c>
      <c r="AD30" s="6">
        <v>1075</v>
      </c>
      <c r="AE30" s="6">
        <v>1041</v>
      </c>
      <c r="AF30" s="6">
        <v>1095</v>
      </c>
    </row>
    <row r="31" spans="1:32">
      <c r="A31">
        <v>121</v>
      </c>
      <c r="B31" t="s">
        <v>67</v>
      </c>
      <c r="C31" s="3" t="s">
        <v>68</v>
      </c>
      <c r="D31" s="3" t="s">
        <v>69</v>
      </c>
      <c r="E31" t="s">
        <v>44</v>
      </c>
      <c r="F31" s="3" t="s">
        <v>45</v>
      </c>
      <c r="G31" s="3" t="s">
        <v>6</v>
      </c>
      <c r="H31" s="2">
        <v>46244.289232442097</v>
      </c>
      <c r="I31" s="3">
        <v>73.06</v>
      </c>
      <c r="J31" s="3" t="s">
        <v>46</v>
      </c>
      <c r="K31" s="5">
        <v>47.3</v>
      </c>
      <c r="L31" s="5">
        <v>184.6</v>
      </c>
      <c r="M31" s="5">
        <v>229</v>
      </c>
      <c r="N31" s="6">
        <v>638</v>
      </c>
      <c r="O31" s="6">
        <v>-96</v>
      </c>
      <c r="P31" s="6">
        <v>1955</v>
      </c>
      <c r="Q31" s="6">
        <v>2506</v>
      </c>
      <c r="R31" s="7">
        <v>0.63</v>
      </c>
      <c r="S31" s="6">
        <v>976</v>
      </c>
      <c r="T31" s="6">
        <v>852</v>
      </c>
      <c r="U31" s="6">
        <v>196</v>
      </c>
      <c r="V31" s="6">
        <v>0</v>
      </c>
      <c r="W31" s="6">
        <v>826</v>
      </c>
      <c r="X31" s="6">
        <v>904</v>
      </c>
      <c r="Y31" s="6">
        <v>1265</v>
      </c>
      <c r="Z31" s="6">
        <v>1514</v>
      </c>
      <c r="AA31" s="6">
        <v>28040</v>
      </c>
      <c r="AB31" s="6">
        <v>19765</v>
      </c>
      <c r="AC31" s="6">
        <v>852</v>
      </c>
      <c r="AD31" s="6">
        <v>972</v>
      </c>
      <c r="AE31" s="6">
        <v>752</v>
      </c>
      <c r="AF31" s="6">
        <v>976</v>
      </c>
    </row>
    <row r="32" spans="1:32">
      <c r="A32">
        <v>121</v>
      </c>
      <c r="B32" t="s">
        <v>67</v>
      </c>
      <c r="C32" s="3" t="s">
        <v>68</v>
      </c>
      <c r="D32" s="3" t="s">
        <v>69</v>
      </c>
      <c r="E32" t="s">
        <v>44</v>
      </c>
      <c r="F32" s="3" t="s">
        <v>45</v>
      </c>
      <c r="G32" s="3" t="s">
        <v>6</v>
      </c>
      <c r="H32" s="2">
        <v>46244.289232442097</v>
      </c>
      <c r="I32" s="3">
        <v>73.06</v>
      </c>
      <c r="J32" s="3" t="s">
        <v>48</v>
      </c>
      <c r="K32" s="5">
        <v>46.2</v>
      </c>
      <c r="L32" s="5">
        <v>195</v>
      </c>
      <c r="M32" s="5">
        <v>219.1</v>
      </c>
      <c r="N32" s="6">
        <v>316</v>
      </c>
      <c r="O32" s="6">
        <v>-105</v>
      </c>
      <c r="P32" s="6">
        <v>2104</v>
      </c>
      <c r="Q32" s="6">
        <v>2464</v>
      </c>
      <c r="R32" s="7">
        <v>0.56999999999999995</v>
      </c>
      <c r="S32" s="6">
        <v>947</v>
      </c>
      <c r="T32" s="6">
        <v>845</v>
      </c>
      <c r="U32" s="6">
        <v>196</v>
      </c>
      <c r="V32" s="6">
        <v>0</v>
      </c>
      <c r="W32" s="6">
        <v>825</v>
      </c>
      <c r="X32" s="6">
        <v>851</v>
      </c>
      <c r="Y32" s="6">
        <v>1359</v>
      </c>
      <c r="Z32" s="6">
        <v>1569</v>
      </c>
      <c r="AA32" s="6">
        <v>29059</v>
      </c>
      <c r="AB32" s="6">
        <v>20590</v>
      </c>
      <c r="AC32" s="6">
        <v>845</v>
      </c>
      <c r="AD32" s="6">
        <v>947</v>
      </c>
      <c r="AE32" s="6">
        <v>780</v>
      </c>
      <c r="AF32" s="6">
        <v>947</v>
      </c>
    </row>
    <row r="33" spans="1:32">
      <c r="A33">
        <v>121</v>
      </c>
      <c r="B33" t="s">
        <v>67</v>
      </c>
      <c r="C33" s="3" t="s">
        <v>68</v>
      </c>
      <c r="D33" s="3" t="s">
        <v>69</v>
      </c>
      <c r="E33" t="s">
        <v>44</v>
      </c>
      <c r="F33" s="3" t="s">
        <v>45</v>
      </c>
      <c r="G33" s="3" t="s">
        <v>6</v>
      </c>
      <c r="H33" s="2">
        <v>46244.289232442097</v>
      </c>
      <c r="I33" s="3">
        <v>73.06</v>
      </c>
      <c r="J33" s="3" t="s">
        <v>70</v>
      </c>
      <c r="K33" s="5">
        <v>45.8</v>
      </c>
      <c r="L33" s="5">
        <v>187.5</v>
      </c>
      <c r="M33" s="5">
        <v>224.8</v>
      </c>
      <c r="N33" s="6">
        <v>396</v>
      </c>
      <c r="O33" s="6">
        <v>-245</v>
      </c>
      <c r="P33" s="6">
        <v>1964</v>
      </c>
      <c r="Q33" s="6">
        <v>2516</v>
      </c>
      <c r="R33" s="7">
        <v>0.6</v>
      </c>
      <c r="S33" s="6">
        <v>970</v>
      </c>
      <c r="T33" s="6">
        <v>837</v>
      </c>
      <c r="U33" s="6">
        <v>196</v>
      </c>
      <c r="V33" s="6">
        <v>16</v>
      </c>
      <c r="W33" s="6">
        <v>810</v>
      </c>
      <c r="X33" s="6">
        <v>869</v>
      </c>
      <c r="Y33" s="6">
        <v>2234</v>
      </c>
      <c r="Z33" s="6">
        <v>2247</v>
      </c>
      <c r="AA33" s="6">
        <v>51072</v>
      </c>
      <c r="AB33" s="6">
        <v>44679</v>
      </c>
      <c r="AC33" s="6">
        <v>837</v>
      </c>
      <c r="AD33" s="6">
        <v>970</v>
      </c>
      <c r="AE33" s="6">
        <v>776</v>
      </c>
      <c r="AF33" s="6">
        <v>963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430BFA-2845-4E77-A753-5B0E804B5FF9}">
  <dimension ref="A1:AF33"/>
  <sheetViews>
    <sheetView workbookViewId="0">
      <selection activeCell="C7" sqref="C7"/>
    </sheetView>
  </sheetViews>
  <sheetFormatPr defaultRowHeight="15"/>
  <cols>
    <col min="1" max="2" width="9.140625" style="8"/>
    <col min="3" max="4" width="19.85546875" customWidth="1"/>
    <col min="8" max="8" width="17" bestFit="1" customWidth="1"/>
    <col min="9" max="9" width="17.7109375" customWidth="1"/>
    <col min="11" max="11" width="27.28515625" customWidth="1"/>
    <col min="12" max="12" width="28.7109375" customWidth="1"/>
    <col min="13" max="13" width="30" customWidth="1"/>
    <col min="14" max="14" width="25.5703125" customWidth="1"/>
    <col min="15" max="15" width="25.85546875" customWidth="1"/>
    <col min="16" max="16" width="29.85546875" customWidth="1"/>
    <col min="17" max="17" width="31" customWidth="1"/>
    <col min="18" max="18" width="28.7109375" customWidth="1"/>
    <col min="19" max="19" width="27.28515625" customWidth="1"/>
    <col min="20" max="20" width="25.85546875" customWidth="1"/>
    <col min="21" max="21" width="35.7109375" customWidth="1"/>
    <col min="22" max="22" width="38" customWidth="1"/>
    <col min="23" max="23" width="27.7109375" customWidth="1"/>
    <col min="24" max="24" width="28.42578125" customWidth="1"/>
    <col min="25" max="25" width="26.28515625" customWidth="1"/>
    <col min="26" max="26" width="27.7109375" customWidth="1"/>
    <col min="27" max="28" width="26.42578125" customWidth="1"/>
    <col min="29" max="30" width="31" customWidth="1"/>
    <col min="31" max="32" width="30.42578125" customWidth="1"/>
  </cols>
  <sheetData>
    <row r="1" spans="1:32">
      <c r="C1" s="11" t="s">
        <v>0</v>
      </c>
      <c r="D1" s="11"/>
      <c r="E1" s="11"/>
      <c r="F1" s="11"/>
      <c r="G1" s="11"/>
      <c r="H1" s="11"/>
      <c r="I1" s="11"/>
    </row>
    <row r="2" spans="1:32">
      <c r="C2" s="11" t="s">
        <v>1</v>
      </c>
      <c r="D2" s="2">
        <v>46280.437222818102</v>
      </c>
      <c r="E2" s="13"/>
      <c r="F2" s="13"/>
      <c r="G2" s="13"/>
      <c r="H2" s="13"/>
      <c r="I2" s="13"/>
    </row>
    <row r="3" spans="1:32">
      <c r="C3" s="11" t="s">
        <v>2</v>
      </c>
      <c r="D3" s="2">
        <v>46279.270599618103</v>
      </c>
      <c r="E3" s="13"/>
      <c r="F3" s="13"/>
      <c r="G3" s="13"/>
      <c r="H3" s="13"/>
      <c r="I3" s="13"/>
    </row>
    <row r="4" spans="1:32">
      <c r="C4" s="11" t="s">
        <v>3</v>
      </c>
      <c r="D4" s="12" t="s">
        <v>4</v>
      </c>
      <c r="E4" s="12"/>
      <c r="F4" s="12"/>
      <c r="G4" s="12"/>
      <c r="H4" s="12"/>
      <c r="I4" s="12"/>
    </row>
    <row r="5" spans="1:32">
      <c r="C5" s="11" t="s">
        <v>5</v>
      </c>
      <c r="D5" s="12" t="s">
        <v>6</v>
      </c>
      <c r="E5" s="12"/>
      <c r="F5" s="12"/>
      <c r="G5" s="12"/>
      <c r="H5" s="12"/>
      <c r="I5" s="12"/>
      <c r="J5" s="3"/>
    </row>
    <row r="6" spans="1:32">
      <c r="C6" s="11" t="s">
        <v>7</v>
      </c>
      <c r="D6" s="12" t="s">
        <v>8</v>
      </c>
      <c r="E6" s="12"/>
      <c r="F6" s="12"/>
      <c r="G6" s="12"/>
      <c r="H6" s="12"/>
      <c r="I6" s="12"/>
    </row>
    <row r="7" spans="1:32">
      <c r="C7" s="1" t="s">
        <v>9</v>
      </c>
      <c r="D7" s="14" cm="1">
        <f t="array" ref="D7">COUNTA(_xlfn._xlws.FILTER(_xlfn.UNIQUE(C10:C200),_xlfn.UNIQUE(C10:C200)&lt;&gt;0))</f>
        <v>8</v>
      </c>
      <c r="E7" s="12"/>
      <c r="F7" s="12"/>
      <c r="G7" s="12"/>
      <c r="H7" s="12"/>
      <c r="I7" s="12"/>
    </row>
    <row r="9" spans="1:32">
      <c r="A9" s="9" t="s">
        <v>10</v>
      </c>
      <c r="B9" s="9" t="s">
        <v>11</v>
      </c>
      <c r="C9" s="4" t="s">
        <v>12</v>
      </c>
      <c r="D9" s="4" t="s">
        <v>13</v>
      </c>
      <c r="E9" s="4" t="s">
        <v>71</v>
      </c>
      <c r="F9" s="4" t="s">
        <v>15</v>
      </c>
      <c r="G9" s="4" t="s">
        <v>16</v>
      </c>
      <c r="H9" s="4" t="s">
        <v>2</v>
      </c>
      <c r="I9" s="4" t="s">
        <v>17</v>
      </c>
      <c r="J9" s="4" t="s">
        <v>18</v>
      </c>
      <c r="K9" s="4" t="s">
        <v>19</v>
      </c>
      <c r="L9" s="4" t="s">
        <v>20</v>
      </c>
      <c r="M9" s="4" t="s">
        <v>21</v>
      </c>
      <c r="N9" s="4" t="s">
        <v>22</v>
      </c>
      <c r="O9" s="4" t="s">
        <v>23</v>
      </c>
      <c r="P9" s="4" t="s">
        <v>24</v>
      </c>
      <c r="Q9" s="4" t="s">
        <v>25</v>
      </c>
      <c r="R9" s="4" t="s">
        <v>26</v>
      </c>
      <c r="S9" s="4" t="s">
        <v>27</v>
      </c>
      <c r="T9" s="4" t="s">
        <v>28</v>
      </c>
      <c r="U9" s="4" t="s">
        <v>29</v>
      </c>
      <c r="V9" s="4" t="s">
        <v>30</v>
      </c>
      <c r="W9" s="4" t="s">
        <v>31</v>
      </c>
      <c r="X9" s="4" t="s">
        <v>32</v>
      </c>
      <c r="Y9" s="4" t="s">
        <v>33</v>
      </c>
      <c r="Z9" s="4" t="s">
        <v>34</v>
      </c>
      <c r="AA9" s="4" t="s">
        <v>35</v>
      </c>
      <c r="AB9" s="4" t="s">
        <v>36</v>
      </c>
      <c r="AC9" s="4" t="s">
        <v>37</v>
      </c>
      <c r="AD9" s="4" t="s">
        <v>38</v>
      </c>
      <c r="AE9" s="4" t="s">
        <v>39</v>
      </c>
      <c r="AF9" s="4" t="s">
        <v>40</v>
      </c>
    </row>
    <row r="10" spans="1:32">
      <c r="A10" s="8">
        <v>136</v>
      </c>
      <c r="B10" s="8" t="s">
        <v>49</v>
      </c>
      <c r="C10" s="3" t="s">
        <v>50</v>
      </c>
      <c r="D10" s="3" t="s">
        <v>51</v>
      </c>
      <c r="E10" t="s">
        <v>44</v>
      </c>
      <c r="F10" t="s">
        <v>45</v>
      </c>
      <c r="G10" s="3" t="s">
        <v>6</v>
      </c>
      <c r="H10" s="2">
        <v>46279.289490740739</v>
      </c>
      <c r="I10" s="3">
        <v>66.680000000000007</v>
      </c>
      <c r="J10" s="3" t="s">
        <v>46</v>
      </c>
      <c r="K10" s="5">
        <v>47.6</v>
      </c>
      <c r="L10" s="5">
        <v>165</v>
      </c>
      <c r="M10" s="5">
        <v>174.8</v>
      </c>
      <c r="N10" s="6">
        <v>1423</v>
      </c>
      <c r="O10" s="6">
        <v>654</v>
      </c>
      <c r="P10" s="6">
        <v>3397</v>
      </c>
      <c r="Q10" s="6">
        <v>3545</v>
      </c>
      <c r="R10" s="7">
        <v>0.71</v>
      </c>
      <c r="S10" s="6">
        <v>1032</v>
      </c>
      <c r="T10" s="6">
        <v>983</v>
      </c>
      <c r="U10" s="6">
        <v>50</v>
      </c>
      <c r="V10" s="6">
        <v>26</v>
      </c>
      <c r="W10" s="6">
        <v>821</v>
      </c>
      <c r="X10" s="6">
        <v>845</v>
      </c>
      <c r="Y10" s="6">
        <v>2025</v>
      </c>
      <c r="Z10" s="6">
        <v>2664</v>
      </c>
      <c r="AA10" s="6">
        <v>63437</v>
      </c>
      <c r="AB10" s="6">
        <v>44015</v>
      </c>
      <c r="AC10" s="6">
        <v>983</v>
      </c>
      <c r="AD10" s="6">
        <v>1032</v>
      </c>
      <c r="AE10" s="6">
        <v>937</v>
      </c>
      <c r="AF10" s="6">
        <v>1016</v>
      </c>
    </row>
    <row r="11" spans="1:32">
      <c r="A11" s="8">
        <v>136</v>
      </c>
      <c r="B11" s="8" t="s">
        <v>49</v>
      </c>
      <c r="C11" s="3" t="s">
        <v>50</v>
      </c>
      <c r="D11" s="3" t="s">
        <v>51</v>
      </c>
      <c r="E11" t="s">
        <v>44</v>
      </c>
      <c r="F11" t="s">
        <v>45</v>
      </c>
      <c r="G11" s="3" t="s">
        <v>6</v>
      </c>
      <c r="H11" s="2">
        <v>46279.289494479199</v>
      </c>
      <c r="I11" s="3">
        <v>66.680000000000007</v>
      </c>
      <c r="J11" s="3" t="s">
        <v>47</v>
      </c>
      <c r="K11" s="5">
        <v>47.7</v>
      </c>
      <c r="L11" s="5">
        <v>172.4</v>
      </c>
      <c r="M11" s="5">
        <v>173.2</v>
      </c>
      <c r="N11" s="6">
        <v>1200</v>
      </c>
      <c r="O11" s="6">
        <v>-250</v>
      </c>
      <c r="P11" s="6">
        <v>3375</v>
      </c>
      <c r="Q11" s="6">
        <v>3109</v>
      </c>
      <c r="R11" s="7">
        <v>0.7</v>
      </c>
      <c r="S11" s="6">
        <v>1009</v>
      </c>
      <c r="T11" s="6">
        <v>984</v>
      </c>
      <c r="U11" s="6">
        <v>40</v>
      </c>
      <c r="V11" s="6">
        <v>8</v>
      </c>
      <c r="W11" s="6">
        <v>830</v>
      </c>
      <c r="X11" s="6">
        <v>821</v>
      </c>
      <c r="Y11" s="6">
        <v>2334</v>
      </c>
      <c r="Z11" s="6">
        <v>1821</v>
      </c>
      <c r="AA11" s="6">
        <v>41394</v>
      </c>
      <c r="AB11" s="6">
        <v>61413</v>
      </c>
      <c r="AC11" s="6">
        <v>984</v>
      </c>
      <c r="AD11" s="6">
        <v>1009</v>
      </c>
      <c r="AE11" s="6">
        <v>936</v>
      </c>
      <c r="AF11" s="6">
        <v>1002</v>
      </c>
    </row>
    <row r="12" spans="1:32">
      <c r="A12" s="8">
        <v>136</v>
      </c>
      <c r="B12" s="8" t="s">
        <v>49</v>
      </c>
      <c r="C12" s="3" t="s">
        <v>50</v>
      </c>
      <c r="D12" s="3" t="s">
        <v>51</v>
      </c>
      <c r="E12" t="s">
        <v>44</v>
      </c>
      <c r="F12" t="s">
        <v>45</v>
      </c>
      <c r="G12" s="3" t="s">
        <v>6</v>
      </c>
      <c r="H12" s="2">
        <v>46279.289494479199</v>
      </c>
      <c r="I12" s="3">
        <v>66.680000000000007</v>
      </c>
      <c r="J12" s="3" t="s">
        <v>48</v>
      </c>
      <c r="K12" s="5">
        <v>47.7</v>
      </c>
      <c r="L12" s="5">
        <v>170.7</v>
      </c>
      <c r="M12" s="5">
        <v>174.6</v>
      </c>
      <c r="N12" s="6">
        <v>389</v>
      </c>
      <c r="O12" s="6">
        <v>444</v>
      </c>
      <c r="P12" s="6">
        <v>3254</v>
      </c>
      <c r="Q12" s="6">
        <v>3209</v>
      </c>
      <c r="R12" s="7">
        <v>0.72</v>
      </c>
      <c r="S12" s="6">
        <v>987</v>
      </c>
      <c r="T12" s="6">
        <v>965</v>
      </c>
      <c r="U12" s="6">
        <v>16</v>
      </c>
      <c r="V12" s="6">
        <v>26</v>
      </c>
      <c r="W12" s="6">
        <v>804</v>
      </c>
      <c r="X12" s="6">
        <v>816</v>
      </c>
      <c r="Y12" s="6">
        <v>2170</v>
      </c>
      <c r="Z12" s="6">
        <v>2653</v>
      </c>
      <c r="AA12" s="6">
        <v>88445</v>
      </c>
      <c r="AB12" s="6">
        <v>67803</v>
      </c>
      <c r="AC12" s="6">
        <v>965</v>
      </c>
      <c r="AD12" s="6">
        <v>987</v>
      </c>
      <c r="AE12" s="6">
        <v>957</v>
      </c>
      <c r="AF12" s="6">
        <v>981</v>
      </c>
    </row>
    <row r="13" spans="1:32">
      <c r="A13" s="8">
        <v>108</v>
      </c>
      <c r="B13" s="8" t="s">
        <v>55</v>
      </c>
      <c r="C13" s="3" t="s">
        <v>56</v>
      </c>
      <c r="D13" s="3" t="s">
        <v>57</v>
      </c>
      <c r="E13" t="s">
        <v>44</v>
      </c>
      <c r="F13" t="s">
        <v>45</v>
      </c>
      <c r="G13" s="3" t="s">
        <v>6</v>
      </c>
      <c r="H13" s="2">
        <v>46279.285500081001</v>
      </c>
      <c r="I13" s="3">
        <v>72.69</v>
      </c>
      <c r="J13" s="3" t="s">
        <v>46</v>
      </c>
      <c r="K13" s="5">
        <v>39.9</v>
      </c>
      <c r="L13" s="5">
        <v>187</v>
      </c>
      <c r="M13" s="5">
        <v>218.5</v>
      </c>
      <c r="N13" s="6">
        <v>0</v>
      </c>
      <c r="O13" s="6">
        <v>0</v>
      </c>
      <c r="P13" s="6">
        <v>2493</v>
      </c>
      <c r="Q13" s="6">
        <v>2601</v>
      </c>
      <c r="R13" s="7">
        <v>0.53</v>
      </c>
      <c r="S13" s="6">
        <v>965</v>
      </c>
      <c r="T13" s="6">
        <v>772</v>
      </c>
      <c r="U13" s="6">
        <v>0</v>
      </c>
      <c r="V13" s="6">
        <v>0</v>
      </c>
      <c r="W13" s="6">
        <v>690</v>
      </c>
      <c r="X13" s="6">
        <v>799</v>
      </c>
      <c r="Y13" s="6">
        <v>968</v>
      </c>
      <c r="Z13" s="6">
        <v>1355</v>
      </c>
      <c r="AA13" s="6">
        <v>17834</v>
      </c>
      <c r="AB13" s="6">
        <v>10752</v>
      </c>
      <c r="AC13" s="6">
        <v>769</v>
      </c>
      <c r="AD13" s="6">
        <v>957</v>
      </c>
      <c r="AE13" s="6">
        <v>772</v>
      </c>
      <c r="AF13" s="6">
        <v>965</v>
      </c>
    </row>
    <row r="14" spans="1:32">
      <c r="A14" s="8">
        <v>108</v>
      </c>
      <c r="B14" s="8" t="s">
        <v>55</v>
      </c>
      <c r="C14" s="3" t="s">
        <v>56</v>
      </c>
      <c r="D14" s="3" t="s">
        <v>57</v>
      </c>
      <c r="E14" t="s">
        <v>44</v>
      </c>
      <c r="F14" t="s">
        <v>45</v>
      </c>
      <c r="G14" s="3" t="s">
        <v>6</v>
      </c>
      <c r="H14" s="2">
        <v>46279.285500081001</v>
      </c>
      <c r="I14" s="3">
        <v>72.69</v>
      </c>
      <c r="J14" s="3" t="s">
        <v>47</v>
      </c>
      <c r="K14" s="5">
        <v>39.9</v>
      </c>
      <c r="L14" s="5">
        <v>195.9</v>
      </c>
      <c r="M14" s="5">
        <v>226.5</v>
      </c>
      <c r="N14" s="6">
        <v>0</v>
      </c>
      <c r="O14" s="6">
        <v>0</v>
      </c>
      <c r="P14" s="6">
        <v>2716</v>
      </c>
      <c r="Q14" s="6">
        <v>3356</v>
      </c>
      <c r="R14" s="7">
        <v>0.49</v>
      </c>
      <c r="S14" s="6">
        <v>1050</v>
      </c>
      <c r="T14" s="6">
        <v>848</v>
      </c>
      <c r="U14" s="6">
        <v>0</v>
      </c>
      <c r="V14" s="6">
        <v>0</v>
      </c>
      <c r="W14" s="6">
        <v>681</v>
      </c>
      <c r="X14" s="6">
        <v>767</v>
      </c>
      <c r="Y14" s="6">
        <v>1839</v>
      </c>
      <c r="Z14" s="6">
        <v>1613</v>
      </c>
      <c r="AA14" s="6">
        <v>17536</v>
      </c>
      <c r="AB14" s="6">
        <v>27859</v>
      </c>
      <c r="AC14" s="6">
        <v>832</v>
      </c>
      <c r="AD14" s="6">
        <v>1021</v>
      </c>
      <c r="AE14" s="6">
        <v>848</v>
      </c>
      <c r="AF14" s="6">
        <v>1050</v>
      </c>
    </row>
    <row r="15" spans="1:32">
      <c r="A15" s="8">
        <v>108</v>
      </c>
      <c r="B15" s="8" t="s">
        <v>55</v>
      </c>
      <c r="C15" s="3" t="s">
        <v>56</v>
      </c>
      <c r="D15" s="3" t="s">
        <v>57</v>
      </c>
      <c r="E15" t="s">
        <v>44</v>
      </c>
      <c r="F15" t="s">
        <v>45</v>
      </c>
      <c r="G15" s="3" t="s">
        <v>6</v>
      </c>
      <c r="H15" s="2">
        <v>46279.285500081001</v>
      </c>
      <c r="I15" s="3">
        <v>72.69</v>
      </c>
      <c r="J15" s="3" t="s">
        <v>48</v>
      </c>
      <c r="K15" s="5">
        <v>39</v>
      </c>
      <c r="L15" s="5">
        <v>204</v>
      </c>
      <c r="M15" s="5">
        <v>216.7</v>
      </c>
      <c r="N15" s="6">
        <v>0</v>
      </c>
      <c r="O15" s="6">
        <v>0</v>
      </c>
      <c r="P15" s="6">
        <v>2893</v>
      </c>
      <c r="Q15" s="6">
        <v>3674</v>
      </c>
      <c r="R15" s="7">
        <v>0.51</v>
      </c>
      <c r="S15" s="6">
        <v>970</v>
      </c>
      <c r="T15" s="6">
        <v>931</v>
      </c>
      <c r="U15" s="6">
        <v>0</v>
      </c>
      <c r="V15" s="6">
        <v>0</v>
      </c>
      <c r="W15" s="6">
        <v>693</v>
      </c>
      <c r="X15" s="6">
        <v>761</v>
      </c>
      <c r="Y15" s="6">
        <v>907</v>
      </c>
      <c r="Z15" s="6">
        <v>1161</v>
      </c>
      <c r="AA15" s="6">
        <v>1166</v>
      </c>
      <c r="AB15" s="6">
        <v>10303</v>
      </c>
      <c r="AC15" s="6">
        <v>895</v>
      </c>
      <c r="AD15" s="6">
        <v>919</v>
      </c>
      <c r="AE15" s="6">
        <v>931</v>
      </c>
      <c r="AF15" s="6">
        <v>970</v>
      </c>
    </row>
    <row r="16" spans="1:32">
      <c r="A16" s="10">
        <v>110</v>
      </c>
      <c r="B16" s="8" t="s">
        <v>52</v>
      </c>
      <c r="C16" s="3" t="s">
        <v>53</v>
      </c>
      <c r="D16" s="3" t="s">
        <v>54</v>
      </c>
      <c r="E16" t="s">
        <v>44</v>
      </c>
      <c r="F16" t="s">
        <v>45</v>
      </c>
      <c r="G16" s="3" t="s">
        <v>6</v>
      </c>
      <c r="H16" s="2">
        <v>46279.281079016197</v>
      </c>
      <c r="I16" s="3">
        <v>90.64</v>
      </c>
      <c r="J16" s="3" t="s">
        <v>46</v>
      </c>
      <c r="K16" s="5">
        <v>46.3</v>
      </c>
      <c r="L16" s="5">
        <v>222.4</v>
      </c>
      <c r="M16" s="5">
        <v>267.2</v>
      </c>
      <c r="N16" s="6">
        <v>0</v>
      </c>
      <c r="O16" s="6">
        <v>0</v>
      </c>
      <c r="P16" s="6">
        <v>4229</v>
      </c>
      <c r="Q16" s="6">
        <v>5711</v>
      </c>
      <c r="R16" s="7">
        <v>0.65</v>
      </c>
      <c r="S16" s="6">
        <v>1372</v>
      </c>
      <c r="T16" s="6">
        <v>1193</v>
      </c>
      <c r="U16" s="6">
        <v>0</v>
      </c>
      <c r="V16" s="6">
        <v>0</v>
      </c>
      <c r="W16" s="6">
        <v>957</v>
      </c>
      <c r="X16" s="6">
        <v>1121</v>
      </c>
      <c r="Y16" s="6">
        <v>1575</v>
      </c>
      <c r="Z16" s="6">
        <v>1906</v>
      </c>
      <c r="AA16" s="6">
        <v>39710</v>
      </c>
      <c r="AB16" s="6">
        <v>32806</v>
      </c>
      <c r="AC16" s="6">
        <v>1187</v>
      </c>
      <c r="AD16" s="6">
        <v>1367</v>
      </c>
      <c r="AE16" s="6">
        <v>1193</v>
      </c>
      <c r="AF16" s="6">
        <v>1372</v>
      </c>
    </row>
    <row r="17" spans="1:32">
      <c r="A17" s="10">
        <v>110</v>
      </c>
      <c r="B17" s="8" t="s">
        <v>52</v>
      </c>
      <c r="C17" s="3" t="s">
        <v>53</v>
      </c>
      <c r="D17" s="3" t="s">
        <v>54</v>
      </c>
      <c r="E17" t="s">
        <v>44</v>
      </c>
      <c r="F17" t="s">
        <v>45</v>
      </c>
      <c r="G17" s="3" t="s">
        <v>6</v>
      </c>
      <c r="H17" s="2">
        <v>46279.281079016197</v>
      </c>
      <c r="I17" s="3">
        <v>90.64</v>
      </c>
      <c r="J17" s="3" t="s">
        <v>47</v>
      </c>
      <c r="K17" s="5">
        <v>48.3</v>
      </c>
      <c r="L17" s="5">
        <v>232.7</v>
      </c>
      <c r="M17" s="5">
        <v>265.60000000000002</v>
      </c>
      <c r="N17" s="6">
        <v>0</v>
      </c>
      <c r="O17" s="6">
        <v>0</v>
      </c>
      <c r="P17" s="6">
        <v>4232</v>
      </c>
      <c r="Q17" s="6">
        <v>5210</v>
      </c>
      <c r="R17" s="7">
        <v>0.7</v>
      </c>
      <c r="S17" s="6">
        <v>1371</v>
      </c>
      <c r="T17" s="6">
        <v>1270</v>
      </c>
      <c r="U17" s="6">
        <v>0</v>
      </c>
      <c r="V17" s="6">
        <v>0</v>
      </c>
      <c r="W17" s="6">
        <v>963</v>
      </c>
      <c r="X17" s="6">
        <v>1104</v>
      </c>
      <c r="Y17" s="6">
        <v>1690</v>
      </c>
      <c r="Z17" s="6">
        <v>1773</v>
      </c>
      <c r="AA17" s="6">
        <v>29551</v>
      </c>
      <c r="AB17" s="6">
        <v>29133</v>
      </c>
      <c r="AC17" s="6">
        <v>1260</v>
      </c>
      <c r="AD17" s="6">
        <v>1364</v>
      </c>
      <c r="AE17" s="6">
        <v>1270</v>
      </c>
      <c r="AF17" s="6">
        <v>1371</v>
      </c>
    </row>
    <row r="18" spans="1:32">
      <c r="A18" s="10">
        <v>110</v>
      </c>
      <c r="B18" s="8" t="s">
        <v>52</v>
      </c>
      <c r="C18" s="3" t="s">
        <v>53</v>
      </c>
      <c r="D18" s="3" t="s">
        <v>54</v>
      </c>
      <c r="E18" t="s">
        <v>44</v>
      </c>
      <c r="F18" t="s">
        <v>45</v>
      </c>
      <c r="G18" s="3" t="s">
        <v>6</v>
      </c>
      <c r="H18" s="2">
        <v>46279.281079016197</v>
      </c>
      <c r="I18" s="3">
        <v>90.64</v>
      </c>
      <c r="J18" s="3" t="s">
        <v>48</v>
      </c>
      <c r="K18" s="5">
        <v>48.3</v>
      </c>
      <c r="L18" s="5">
        <v>235.6</v>
      </c>
      <c r="M18" s="5">
        <v>273.2</v>
      </c>
      <c r="N18" s="6">
        <v>0</v>
      </c>
      <c r="O18" s="6">
        <v>0</v>
      </c>
      <c r="P18" s="6">
        <v>4180</v>
      </c>
      <c r="Q18" s="6">
        <v>4627</v>
      </c>
      <c r="R18" s="7">
        <v>0.65</v>
      </c>
      <c r="S18" s="6">
        <v>1391</v>
      </c>
      <c r="T18" s="6">
        <v>1205</v>
      </c>
      <c r="U18" s="6">
        <v>0</v>
      </c>
      <c r="V18" s="6">
        <v>0</v>
      </c>
      <c r="W18" s="6">
        <v>915</v>
      </c>
      <c r="X18" s="6">
        <v>1078</v>
      </c>
      <c r="Y18" s="6">
        <v>1460</v>
      </c>
      <c r="Z18" s="6">
        <v>1638</v>
      </c>
      <c r="AA18" s="6">
        <v>35610</v>
      </c>
      <c r="AB18" s="6">
        <v>30411</v>
      </c>
      <c r="AC18" s="6">
        <v>1200</v>
      </c>
      <c r="AD18" s="6">
        <v>1384</v>
      </c>
      <c r="AE18" s="6">
        <v>1205</v>
      </c>
      <c r="AF18" s="6">
        <v>1391</v>
      </c>
    </row>
    <row r="19" spans="1:32">
      <c r="A19" s="10">
        <v>16</v>
      </c>
      <c r="B19" s="8" t="s">
        <v>41</v>
      </c>
      <c r="C19" s="3" t="s">
        <v>42</v>
      </c>
      <c r="D19" s="3" t="s">
        <v>43</v>
      </c>
      <c r="E19" t="s">
        <v>44</v>
      </c>
      <c r="F19" t="s">
        <v>45</v>
      </c>
      <c r="G19" s="3" t="s">
        <v>6</v>
      </c>
      <c r="H19" s="2">
        <v>46279.2769758102</v>
      </c>
      <c r="I19" s="3">
        <v>76.42</v>
      </c>
      <c r="J19" s="3" t="s">
        <v>46</v>
      </c>
      <c r="K19" s="5">
        <v>43</v>
      </c>
      <c r="L19" s="5">
        <v>214.1</v>
      </c>
      <c r="M19" s="5">
        <v>209.9</v>
      </c>
      <c r="N19" s="6">
        <v>0</v>
      </c>
      <c r="O19" s="6">
        <v>0</v>
      </c>
      <c r="P19" s="6">
        <v>3428</v>
      </c>
      <c r="Q19" s="6">
        <v>3416</v>
      </c>
      <c r="R19" s="7">
        <v>0.61</v>
      </c>
      <c r="S19" s="6">
        <v>1002</v>
      </c>
      <c r="T19" s="6">
        <v>1016</v>
      </c>
      <c r="U19" s="6">
        <v>0</v>
      </c>
      <c r="V19" s="6">
        <v>0</v>
      </c>
      <c r="W19" s="6">
        <v>841</v>
      </c>
      <c r="X19" s="6">
        <v>830</v>
      </c>
      <c r="Y19" s="6">
        <v>2119</v>
      </c>
      <c r="Z19" s="6">
        <v>2513</v>
      </c>
      <c r="AA19" s="6">
        <v>48328</v>
      </c>
      <c r="AB19" s="6">
        <v>40744</v>
      </c>
      <c r="AC19" s="6">
        <v>965</v>
      </c>
      <c r="AD19" s="6">
        <v>947</v>
      </c>
      <c r="AE19" s="6">
        <v>1016</v>
      </c>
      <c r="AF19" s="6">
        <v>1002</v>
      </c>
    </row>
    <row r="20" spans="1:32">
      <c r="A20" s="10">
        <v>16</v>
      </c>
      <c r="B20" s="8" t="s">
        <v>41</v>
      </c>
      <c r="C20" s="3" t="s">
        <v>42</v>
      </c>
      <c r="D20" s="3" t="s">
        <v>43</v>
      </c>
      <c r="E20" t="s">
        <v>44</v>
      </c>
      <c r="F20" t="s">
        <v>45</v>
      </c>
      <c r="G20" s="3" t="s">
        <v>6</v>
      </c>
      <c r="H20" s="2">
        <v>46279.2769758102</v>
      </c>
      <c r="I20" s="3">
        <v>76.42</v>
      </c>
      <c r="J20" s="3" t="s">
        <v>47</v>
      </c>
      <c r="K20" s="5">
        <v>44.1</v>
      </c>
      <c r="L20" s="5">
        <v>210.1</v>
      </c>
      <c r="M20" s="5">
        <v>217.8</v>
      </c>
      <c r="N20" s="6">
        <v>0</v>
      </c>
      <c r="O20" s="6">
        <v>250</v>
      </c>
      <c r="P20" s="6">
        <v>2897</v>
      </c>
      <c r="Q20" s="6">
        <v>3527</v>
      </c>
      <c r="R20" s="7">
        <v>0.61</v>
      </c>
      <c r="S20" s="6">
        <v>974</v>
      </c>
      <c r="T20" s="6">
        <v>950</v>
      </c>
      <c r="U20" s="6">
        <v>0</v>
      </c>
      <c r="V20" s="6">
        <v>2</v>
      </c>
      <c r="W20" s="6">
        <v>801</v>
      </c>
      <c r="X20" s="6">
        <v>825</v>
      </c>
      <c r="Y20" s="6">
        <v>4162</v>
      </c>
      <c r="Z20" s="6">
        <v>4135</v>
      </c>
      <c r="AA20" s="6">
        <v>121620</v>
      </c>
      <c r="AB20" s="6">
        <v>115603</v>
      </c>
      <c r="AC20" s="6">
        <v>943</v>
      </c>
      <c r="AD20" s="6">
        <v>960</v>
      </c>
      <c r="AE20" s="6">
        <v>950</v>
      </c>
      <c r="AF20" s="6">
        <v>974</v>
      </c>
    </row>
    <row r="21" spans="1:32">
      <c r="A21" s="10">
        <v>16</v>
      </c>
      <c r="B21" s="8" t="s">
        <v>41</v>
      </c>
      <c r="C21" s="3" t="s">
        <v>42</v>
      </c>
      <c r="D21" s="3" t="s">
        <v>43</v>
      </c>
      <c r="E21" t="s">
        <v>44</v>
      </c>
      <c r="F21" t="s">
        <v>45</v>
      </c>
      <c r="G21" s="3" t="s">
        <v>6</v>
      </c>
      <c r="H21" s="2">
        <v>46279.2769758102</v>
      </c>
      <c r="I21" s="3">
        <v>76.42</v>
      </c>
      <c r="J21" s="3" t="s">
        <v>48</v>
      </c>
      <c r="K21" s="5">
        <v>43.5</v>
      </c>
      <c r="L21" s="5">
        <v>219.8</v>
      </c>
      <c r="M21" s="5">
        <v>209.3</v>
      </c>
      <c r="N21" s="6">
        <v>0</v>
      </c>
      <c r="O21" s="6">
        <v>0</v>
      </c>
      <c r="P21" s="6">
        <v>2952</v>
      </c>
      <c r="Q21" s="6">
        <v>2808</v>
      </c>
      <c r="R21" s="7">
        <v>0.57999999999999996</v>
      </c>
      <c r="S21" s="6">
        <v>954</v>
      </c>
      <c r="T21" s="6">
        <v>965</v>
      </c>
      <c r="U21" s="6">
        <v>2</v>
      </c>
      <c r="V21" s="6">
        <v>14</v>
      </c>
      <c r="W21" s="6">
        <v>834</v>
      </c>
      <c r="X21" s="6">
        <v>816</v>
      </c>
      <c r="Y21" s="6">
        <v>4268</v>
      </c>
      <c r="Z21" s="6">
        <v>3715</v>
      </c>
      <c r="AA21" s="6">
        <v>97765</v>
      </c>
      <c r="AB21" s="6">
        <v>106693</v>
      </c>
      <c r="AC21" s="6">
        <v>965</v>
      </c>
      <c r="AD21" s="6">
        <v>954</v>
      </c>
      <c r="AE21" s="6">
        <v>964</v>
      </c>
      <c r="AF21" s="6">
        <v>949</v>
      </c>
    </row>
    <row r="22" spans="1:32">
      <c r="A22" s="8">
        <v>106</v>
      </c>
      <c r="B22" s="8" t="s">
        <v>72</v>
      </c>
      <c r="C22" s="3" t="s">
        <v>73</v>
      </c>
      <c r="D22" s="3" t="s">
        <v>74</v>
      </c>
      <c r="E22" t="s">
        <v>44</v>
      </c>
      <c r="F22" t="s">
        <v>45</v>
      </c>
      <c r="G22" s="3" t="s">
        <v>6</v>
      </c>
      <c r="H22" s="2">
        <v>46279.274028669002</v>
      </c>
      <c r="I22" s="3">
        <v>75.41</v>
      </c>
      <c r="J22" s="3" t="s">
        <v>46</v>
      </c>
      <c r="K22" s="5">
        <v>44.6</v>
      </c>
      <c r="L22" s="5">
        <v>204.7</v>
      </c>
      <c r="M22" s="5">
        <v>202.8</v>
      </c>
      <c r="N22" s="6">
        <v>-833</v>
      </c>
      <c r="O22" s="6">
        <v>1167</v>
      </c>
      <c r="P22" s="6">
        <v>2979</v>
      </c>
      <c r="Q22" s="6">
        <v>2763</v>
      </c>
      <c r="R22" s="7">
        <v>0.66</v>
      </c>
      <c r="S22" s="6">
        <v>929</v>
      </c>
      <c r="T22" s="6">
        <v>990</v>
      </c>
      <c r="U22" s="6">
        <v>0</v>
      </c>
      <c r="V22" s="6">
        <v>36</v>
      </c>
      <c r="W22" s="6">
        <v>850</v>
      </c>
      <c r="X22" s="6">
        <v>874</v>
      </c>
      <c r="Y22" s="6">
        <v>3474</v>
      </c>
      <c r="Z22" s="6">
        <v>4059</v>
      </c>
      <c r="AA22" s="6">
        <v>112760</v>
      </c>
      <c r="AB22" s="6">
        <v>91413</v>
      </c>
      <c r="AC22" s="6">
        <v>990</v>
      </c>
      <c r="AD22" s="6">
        <v>929</v>
      </c>
      <c r="AE22" s="6">
        <v>990</v>
      </c>
      <c r="AF22" s="6">
        <v>916</v>
      </c>
    </row>
    <row r="23" spans="1:32">
      <c r="A23" s="8">
        <v>106</v>
      </c>
      <c r="B23" s="8" t="s">
        <v>72</v>
      </c>
      <c r="C23" s="3" t="s">
        <v>73</v>
      </c>
      <c r="D23" s="3" t="s">
        <v>74</v>
      </c>
      <c r="E23" t="s">
        <v>44</v>
      </c>
      <c r="F23" t="s">
        <v>45</v>
      </c>
      <c r="G23" s="3" t="s">
        <v>6</v>
      </c>
      <c r="H23" s="2">
        <v>46279.274028669002</v>
      </c>
      <c r="I23" s="3">
        <v>75.41</v>
      </c>
      <c r="J23" s="3" t="s">
        <v>47</v>
      </c>
      <c r="K23" s="5">
        <v>46.2</v>
      </c>
      <c r="L23" s="5">
        <v>207</v>
      </c>
      <c r="M23" s="5">
        <v>203.1</v>
      </c>
      <c r="N23" s="6">
        <v>312</v>
      </c>
      <c r="O23" s="6">
        <v>375</v>
      </c>
      <c r="P23" s="6">
        <v>3402</v>
      </c>
      <c r="Q23" s="6">
        <v>3003</v>
      </c>
      <c r="R23" s="7">
        <v>0.69</v>
      </c>
      <c r="S23" s="6">
        <v>973</v>
      </c>
      <c r="T23" s="6">
        <v>1008</v>
      </c>
      <c r="U23" s="6">
        <v>16</v>
      </c>
      <c r="V23" s="6">
        <v>24</v>
      </c>
      <c r="W23" s="6">
        <v>866</v>
      </c>
      <c r="X23" s="6">
        <v>860</v>
      </c>
      <c r="Y23" s="6">
        <v>2539</v>
      </c>
      <c r="Z23" s="6">
        <v>1904</v>
      </c>
      <c r="AA23" s="6">
        <v>34006</v>
      </c>
      <c r="AB23" s="6">
        <v>55189</v>
      </c>
      <c r="AC23" s="6">
        <v>1008</v>
      </c>
      <c r="AD23" s="6">
        <v>973</v>
      </c>
      <c r="AE23" s="6">
        <v>1003</v>
      </c>
      <c r="AF23" s="6">
        <v>965</v>
      </c>
    </row>
    <row r="24" spans="1:32">
      <c r="A24" s="8">
        <v>106</v>
      </c>
      <c r="B24" s="8" t="s">
        <v>72</v>
      </c>
      <c r="C24" s="3" t="s">
        <v>73</v>
      </c>
      <c r="D24" s="3" t="s">
        <v>74</v>
      </c>
      <c r="E24" t="s">
        <v>44</v>
      </c>
      <c r="F24" t="s">
        <v>45</v>
      </c>
      <c r="G24" s="3" t="s">
        <v>6</v>
      </c>
      <c r="H24" s="2">
        <v>46279.274028669002</v>
      </c>
      <c r="I24" s="3">
        <v>75.41</v>
      </c>
      <c r="J24" s="3" t="s">
        <v>48</v>
      </c>
      <c r="K24" s="5">
        <v>46.9</v>
      </c>
      <c r="L24" s="5">
        <v>201.6</v>
      </c>
      <c r="M24" s="5">
        <v>206</v>
      </c>
      <c r="N24" s="6">
        <v>625</v>
      </c>
      <c r="O24" s="6">
        <v>625</v>
      </c>
      <c r="P24" s="6">
        <v>3419</v>
      </c>
      <c r="Q24" s="6">
        <v>3398</v>
      </c>
      <c r="R24" s="7">
        <v>0.71</v>
      </c>
      <c r="S24" s="6">
        <v>1037</v>
      </c>
      <c r="T24" s="6">
        <v>1039</v>
      </c>
      <c r="U24" s="6">
        <v>4</v>
      </c>
      <c r="V24" s="6">
        <v>8</v>
      </c>
      <c r="W24" s="6">
        <v>842</v>
      </c>
      <c r="X24" s="6">
        <v>883</v>
      </c>
      <c r="Y24" s="6">
        <v>3548</v>
      </c>
      <c r="Z24" s="6">
        <v>3952</v>
      </c>
      <c r="AA24" s="6">
        <v>123511</v>
      </c>
      <c r="AB24" s="6">
        <v>104344</v>
      </c>
      <c r="AC24" s="6">
        <v>1039</v>
      </c>
      <c r="AD24" s="6">
        <v>1037</v>
      </c>
      <c r="AE24" s="6">
        <v>1036</v>
      </c>
      <c r="AF24" s="6">
        <v>1033</v>
      </c>
    </row>
    <row r="25" spans="1:32">
      <c r="A25" s="8">
        <v>17</v>
      </c>
      <c r="B25" s="8" t="s">
        <v>58</v>
      </c>
      <c r="C25" s="3" t="s">
        <v>59</v>
      </c>
      <c r="D25" s="3" t="s">
        <v>60</v>
      </c>
      <c r="E25" t="s">
        <v>44</v>
      </c>
      <c r="F25" t="s">
        <v>45</v>
      </c>
      <c r="G25" s="3" t="s">
        <v>6</v>
      </c>
      <c r="H25" s="2">
        <v>46279.268476585603</v>
      </c>
      <c r="I25" s="3">
        <v>92.95</v>
      </c>
      <c r="J25" s="3" t="s">
        <v>46</v>
      </c>
      <c r="K25" s="5">
        <v>36.6</v>
      </c>
      <c r="L25" s="5">
        <v>205.9</v>
      </c>
      <c r="M25" s="5">
        <v>272.3</v>
      </c>
      <c r="N25" s="6">
        <v>0</v>
      </c>
      <c r="O25" s="6">
        <v>0</v>
      </c>
      <c r="P25" s="6">
        <v>3750</v>
      </c>
      <c r="Q25" s="6">
        <v>3885</v>
      </c>
      <c r="R25" s="7">
        <v>0.47</v>
      </c>
      <c r="S25" s="6">
        <v>1448</v>
      </c>
      <c r="T25" s="6">
        <v>972</v>
      </c>
      <c r="U25" s="6">
        <v>0</v>
      </c>
      <c r="V25" s="6">
        <v>0</v>
      </c>
      <c r="W25" s="6">
        <v>882</v>
      </c>
      <c r="X25" s="6">
        <v>1135</v>
      </c>
      <c r="Y25" s="6">
        <v>3835</v>
      </c>
      <c r="Z25" s="6">
        <v>3542</v>
      </c>
      <c r="AA25" s="6">
        <v>88559</v>
      </c>
      <c r="AB25" s="6">
        <v>95868</v>
      </c>
      <c r="AC25" s="6">
        <v>958</v>
      </c>
      <c r="AD25" s="6">
        <v>1424</v>
      </c>
      <c r="AE25" s="6">
        <v>972</v>
      </c>
      <c r="AF25" s="6">
        <v>1448</v>
      </c>
    </row>
    <row r="26" spans="1:32">
      <c r="A26" s="8">
        <v>17</v>
      </c>
      <c r="B26" s="8" t="s">
        <v>58</v>
      </c>
      <c r="C26" s="3" t="s">
        <v>59</v>
      </c>
      <c r="D26" s="3" t="s">
        <v>60</v>
      </c>
      <c r="E26" t="s">
        <v>44</v>
      </c>
      <c r="F26" t="s">
        <v>45</v>
      </c>
      <c r="G26" s="3" t="s">
        <v>6</v>
      </c>
      <c r="H26" s="2">
        <v>46279.268476585603</v>
      </c>
      <c r="I26" s="3">
        <v>92.95</v>
      </c>
      <c r="J26" s="3" t="s">
        <v>47</v>
      </c>
      <c r="K26" s="5">
        <v>37</v>
      </c>
      <c r="L26" s="5">
        <v>221</v>
      </c>
      <c r="M26" s="5">
        <v>273.8</v>
      </c>
      <c r="N26" s="6">
        <v>3500</v>
      </c>
      <c r="O26" s="6">
        <v>-2500</v>
      </c>
      <c r="P26" s="6">
        <v>2588</v>
      </c>
      <c r="Q26" s="6">
        <v>4350</v>
      </c>
      <c r="R26" s="7">
        <v>0.44</v>
      </c>
      <c r="S26" s="6">
        <v>1366</v>
      </c>
      <c r="T26" s="6">
        <v>967</v>
      </c>
      <c r="U26" s="6">
        <v>36</v>
      </c>
      <c r="V26" s="6">
        <v>0</v>
      </c>
      <c r="W26" s="6">
        <v>873</v>
      </c>
      <c r="X26" s="6">
        <v>1058</v>
      </c>
      <c r="Y26" s="6">
        <v>2699</v>
      </c>
      <c r="Z26" s="6">
        <v>3363</v>
      </c>
      <c r="AA26" s="6">
        <v>73116</v>
      </c>
      <c r="AB26" s="6">
        <v>53974</v>
      </c>
      <c r="AC26" s="6">
        <v>967</v>
      </c>
      <c r="AD26" s="6">
        <v>1340</v>
      </c>
      <c r="AE26" s="6">
        <v>911</v>
      </c>
      <c r="AF26" s="6">
        <v>1366</v>
      </c>
    </row>
    <row r="27" spans="1:32">
      <c r="A27" s="8">
        <v>17</v>
      </c>
      <c r="B27" s="8" t="s">
        <v>58</v>
      </c>
      <c r="C27" s="3" t="s">
        <v>59</v>
      </c>
      <c r="D27" s="3" t="s">
        <v>60</v>
      </c>
      <c r="E27" t="s">
        <v>44</v>
      </c>
      <c r="F27" t="s">
        <v>45</v>
      </c>
      <c r="G27" s="3" t="s">
        <v>6</v>
      </c>
      <c r="H27" s="2">
        <v>46279.268476585603</v>
      </c>
      <c r="I27" s="3">
        <v>92.95</v>
      </c>
      <c r="J27" s="3" t="s">
        <v>48</v>
      </c>
      <c r="K27" s="5">
        <v>36.799999999999997</v>
      </c>
      <c r="L27" s="5">
        <v>213.1</v>
      </c>
      <c r="M27" s="5">
        <v>266.2</v>
      </c>
      <c r="N27" s="6">
        <v>0</v>
      </c>
      <c r="O27" s="6">
        <v>0</v>
      </c>
      <c r="P27" s="6">
        <v>3359</v>
      </c>
      <c r="Q27" s="6">
        <v>4717</v>
      </c>
      <c r="R27" s="7">
        <v>0.52</v>
      </c>
      <c r="S27" s="6">
        <v>1429</v>
      </c>
      <c r="T27" s="6">
        <v>1000</v>
      </c>
      <c r="U27" s="6">
        <v>24</v>
      </c>
      <c r="V27" s="6">
        <v>0</v>
      </c>
      <c r="W27" s="6">
        <v>900</v>
      </c>
      <c r="X27" s="6">
        <v>1123</v>
      </c>
      <c r="Y27" s="6">
        <v>3576</v>
      </c>
      <c r="Z27" s="6">
        <v>2661</v>
      </c>
      <c r="AA27" s="6">
        <v>55445</v>
      </c>
      <c r="AB27" s="6">
        <v>77733</v>
      </c>
      <c r="AC27" s="6">
        <v>1000</v>
      </c>
      <c r="AD27" s="6">
        <v>1399</v>
      </c>
      <c r="AE27" s="6">
        <v>973</v>
      </c>
      <c r="AF27" s="6">
        <v>1429</v>
      </c>
    </row>
    <row r="28" spans="1:32">
      <c r="A28" s="8">
        <v>107</v>
      </c>
      <c r="B28" s="8" t="s">
        <v>64</v>
      </c>
      <c r="C28" s="3" t="s">
        <v>65</v>
      </c>
      <c r="D28" s="3" t="s">
        <v>66</v>
      </c>
      <c r="E28" t="s">
        <v>44</v>
      </c>
      <c r="F28" t="s">
        <v>45</v>
      </c>
      <c r="G28" s="3" t="s">
        <v>6</v>
      </c>
      <c r="H28" s="2">
        <v>46279.2715648495</v>
      </c>
      <c r="I28" s="3">
        <v>71.400000000000006</v>
      </c>
      <c r="J28" s="3" t="s">
        <v>46</v>
      </c>
      <c r="K28" s="5">
        <v>47.4</v>
      </c>
      <c r="L28" s="5">
        <v>209.6</v>
      </c>
      <c r="M28" s="5">
        <v>214.8</v>
      </c>
      <c r="N28" s="6">
        <v>0</v>
      </c>
      <c r="O28" s="6">
        <v>0</v>
      </c>
      <c r="P28" s="6">
        <v>3388</v>
      </c>
      <c r="Q28" s="6">
        <v>3517</v>
      </c>
      <c r="R28" s="7">
        <v>0.62</v>
      </c>
      <c r="S28" s="6">
        <v>1067</v>
      </c>
      <c r="T28" s="6">
        <v>1046</v>
      </c>
      <c r="U28" s="6">
        <v>0</v>
      </c>
      <c r="V28" s="6">
        <v>0</v>
      </c>
      <c r="W28" s="6">
        <v>709</v>
      </c>
      <c r="X28" s="6">
        <v>721</v>
      </c>
      <c r="Y28" s="6">
        <v>2564</v>
      </c>
      <c r="Z28" s="6">
        <v>3019</v>
      </c>
      <c r="AA28" s="6">
        <v>188711</v>
      </c>
      <c r="AB28" s="6">
        <v>142446</v>
      </c>
      <c r="AC28" s="6">
        <v>1041</v>
      </c>
      <c r="AD28" s="6">
        <v>1055</v>
      </c>
      <c r="AE28" s="6">
        <v>1046</v>
      </c>
      <c r="AF28" s="6">
        <v>1067</v>
      </c>
    </row>
    <row r="29" spans="1:32">
      <c r="A29" s="8">
        <v>107</v>
      </c>
      <c r="B29" s="8" t="s">
        <v>64</v>
      </c>
      <c r="C29" s="3" t="s">
        <v>65</v>
      </c>
      <c r="D29" s="3" t="s">
        <v>66</v>
      </c>
      <c r="E29" t="s">
        <v>44</v>
      </c>
      <c r="F29" t="s">
        <v>45</v>
      </c>
      <c r="G29" s="3" t="s">
        <v>6</v>
      </c>
      <c r="H29" s="2">
        <v>46279.2715648495</v>
      </c>
      <c r="I29" s="3">
        <v>71.400000000000006</v>
      </c>
      <c r="J29" s="3" t="s">
        <v>47</v>
      </c>
      <c r="K29" s="5">
        <v>48</v>
      </c>
      <c r="L29" s="5">
        <v>212</v>
      </c>
      <c r="M29" s="5">
        <v>216.6</v>
      </c>
      <c r="N29" s="6">
        <v>0</v>
      </c>
      <c r="O29" s="6">
        <v>0</v>
      </c>
      <c r="P29" s="6">
        <v>3828</v>
      </c>
      <c r="Q29" s="6">
        <v>3234</v>
      </c>
      <c r="R29" s="7">
        <v>0.6</v>
      </c>
      <c r="S29" s="6">
        <v>1067</v>
      </c>
      <c r="T29" s="6">
        <v>1005</v>
      </c>
      <c r="U29" s="6">
        <v>2</v>
      </c>
      <c r="V29" s="6">
        <v>0</v>
      </c>
      <c r="W29" s="6">
        <v>714</v>
      </c>
      <c r="X29" s="6">
        <v>719</v>
      </c>
      <c r="Y29" s="6">
        <v>3252</v>
      </c>
      <c r="Z29" s="6">
        <v>3130</v>
      </c>
      <c r="AA29" s="6">
        <v>260865</v>
      </c>
      <c r="AB29" s="6">
        <v>232288</v>
      </c>
      <c r="AC29" s="6">
        <v>1001</v>
      </c>
      <c r="AD29" s="6">
        <v>1045</v>
      </c>
      <c r="AE29" s="6">
        <v>1005</v>
      </c>
      <c r="AF29" s="6">
        <v>1067</v>
      </c>
    </row>
    <row r="30" spans="1:32">
      <c r="A30" s="8">
        <v>107</v>
      </c>
      <c r="B30" s="8" t="s">
        <v>64</v>
      </c>
      <c r="C30" s="3" t="s">
        <v>65</v>
      </c>
      <c r="D30" s="3" t="s">
        <v>66</v>
      </c>
      <c r="E30" t="s">
        <v>44</v>
      </c>
      <c r="F30" t="s">
        <v>45</v>
      </c>
      <c r="G30" s="3" t="s">
        <v>6</v>
      </c>
      <c r="H30" s="2">
        <v>46279.2715648495</v>
      </c>
      <c r="I30" s="3">
        <v>71.400000000000006</v>
      </c>
      <c r="J30" s="3" t="s">
        <v>48</v>
      </c>
      <c r="K30" s="5">
        <v>48.8</v>
      </c>
      <c r="L30" s="5">
        <v>211.7</v>
      </c>
      <c r="M30" s="5">
        <v>216.5</v>
      </c>
      <c r="N30" s="6">
        <v>0</v>
      </c>
      <c r="O30" s="6">
        <v>0</v>
      </c>
      <c r="P30" s="6">
        <v>3888</v>
      </c>
      <c r="Q30" s="6">
        <v>4912</v>
      </c>
      <c r="R30" s="7">
        <v>0.63</v>
      </c>
      <c r="S30" s="6">
        <v>1099</v>
      </c>
      <c r="T30" s="6">
        <v>1057</v>
      </c>
      <c r="U30" s="6">
        <v>0</v>
      </c>
      <c r="V30" s="6">
        <v>0</v>
      </c>
      <c r="W30" s="6">
        <v>729</v>
      </c>
      <c r="X30" s="6">
        <v>749</v>
      </c>
      <c r="Y30" s="6">
        <v>1434</v>
      </c>
      <c r="Z30" s="6">
        <v>2266</v>
      </c>
      <c r="AA30" s="6">
        <v>66658</v>
      </c>
      <c r="AB30" s="6">
        <v>32592</v>
      </c>
      <c r="AC30" s="6">
        <v>1042</v>
      </c>
      <c r="AD30" s="6">
        <v>1066</v>
      </c>
      <c r="AE30" s="6">
        <v>1057</v>
      </c>
      <c r="AF30" s="6">
        <v>1099</v>
      </c>
    </row>
    <row r="31" spans="1:32">
      <c r="A31" s="8">
        <v>119</v>
      </c>
      <c r="B31" s="8" t="s">
        <v>61</v>
      </c>
      <c r="C31" s="3" t="s">
        <v>62</v>
      </c>
      <c r="D31" s="3" t="s">
        <v>63</v>
      </c>
      <c r="E31" t="s">
        <v>44</v>
      </c>
      <c r="F31" t="s">
        <v>45</v>
      </c>
      <c r="G31" s="3" t="s">
        <v>6</v>
      </c>
      <c r="H31" s="2">
        <v>46279.270599618103</v>
      </c>
      <c r="I31" s="3">
        <v>96.4</v>
      </c>
      <c r="J31" s="3" t="s">
        <v>46</v>
      </c>
      <c r="K31" s="5">
        <v>41.1</v>
      </c>
      <c r="L31" s="5">
        <v>258.3</v>
      </c>
      <c r="M31" s="5">
        <v>273.3</v>
      </c>
      <c r="N31" s="6">
        <v>0</v>
      </c>
      <c r="O31" s="6">
        <v>0</v>
      </c>
      <c r="P31" s="6">
        <v>4235</v>
      </c>
      <c r="Q31" s="6">
        <v>4179</v>
      </c>
      <c r="R31" s="7">
        <v>0.53</v>
      </c>
      <c r="S31" s="6">
        <v>1276</v>
      </c>
      <c r="T31" s="6">
        <v>1353</v>
      </c>
      <c r="U31" s="6">
        <v>0</v>
      </c>
      <c r="V31" s="6">
        <v>26</v>
      </c>
      <c r="W31" s="6">
        <v>936</v>
      </c>
      <c r="X31" s="6">
        <v>984</v>
      </c>
      <c r="Y31" s="6">
        <v>1841</v>
      </c>
      <c r="Z31" s="6">
        <v>2301</v>
      </c>
      <c r="AA31" s="6">
        <v>34869</v>
      </c>
      <c r="AB31" s="6">
        <v>31736</v>
      </c>
      <c r="AC31" s="6">
        <v>1344</v>
      </c>
      <c r="AD31" s="6">
        <v>1276</v>
      </c>
      <c r="AE31" s="6">
        <v>1353</v>
      </c>
      <c r="AF31" s="6">
        <v>1248</v>
      </c>
    </row>
    <row r="32" spans="1:32">
      <c r="A32" s="8">
        <v>119</v>
      </c>
      <c r="B32" s="8" t="s">
        <v>61</v>
      </c>
      <c r="C32" s="3" t="s">
        <v>62</v>
      </c>
      <c r="D32" s="3" t="s">
        <v>63</v>
      </c>
      <c r="E32" t="s">
        <v>44</v>
      </c>
      <c r="F32" t="s">
        <v>45</v>
      </c>
      <c r="G32" s="3" t="s">
        <v>6</v>
      </c>
      <c r="H32" s="2">
        <v>46279.270599618103</v>
      </c>
      <c r="I32" s="3">
        <v>96.4</v>
      </c>
      <c r="J32" s="3" t="s">
        <v>47</v>
      </c>
      <c r="K32" s="5">
        <v>39.5</v>
      </c>
      <c r="L32" s="5">
        <v>283</v>
      </c>
      <c r="M32" s="5">
        <v>262.5</v>
      </c>
      <c r="N32" s="6">
        <v>1000</v>
      </c>
      <c r="O32" s="6">
        <v>-250</v>
      </c>
      <c r="P32" s="6">
        <v>3521</v>
      </c>
      <c r="Q32" s="6">
        <v>3234</v>
      </c>
      <c r="R32" s="7">
        <v>0.48</v>
      </c>
      <c r="S32" s="6">
        <v>1121</v>
      </c>
      <c r="T32" s="6">
        <v>1237</v>
      </c>
      <c r="U32" s="6">
        <v>6</v>
      </c>
      <c r="V32" s="6">
        <v>0</v>
      </c>
      <c r="W32" s="6">
        <v>951</v>
      </c>
      <c r="X32" s="6">
        <v>959</v>
      </c>
      <c r="Y32" s="6">
        <v>2652</v>
      </c>
      <c r="Z32" s="6">
        <v>1880</v>
      </c>
      <c r="AA32" s="6">
        <v>21368</v>
      </c>
      <c r="AB32" s="6">
        <v>45719</v>
      </c>
      <c r="AC32" s="6">
        <v>1237</v>
      </c>
      <c r="AD32" s="6">
        <v>1106</v>
      </c>
      <c r="AE32" s="6">
        <v>1233</v>
      </c>
      <c r="AF32" s="6">
        <v>1121</v>
      </c>
    </row>
    <row r="33" spans="1:32">
      <c r="A33" s="8">
        <v>119</v>
      </c>
      <c r="B33" s="8" t="s">
        <v>61</v>
      </c>
      <c r="C33" s="3" t="s">
        <v>62</v>
      </c>
      <c r="D33" s="3" t="s">
        <v>63</v>
      </c>
      <c r="E33" t="s">
        <v>44</v>
      </c>
      <c r="F33" t="s">
        <v>45</v>
      </c>
      <c r="G33" s="3" t="s">
        <v>6</v>
      </c>
      <c r="H33" s="2">
        <v>46279.270599618103</v>
      </c>
      <c r="I33" s="3">
        <v>96.4</v>
      </c>
      <c r="J33" s="3" t="s">
        <v>48</v>
      </c>
      <c r="K33" s="5">
        <v>39.799999999999997</v>
      </c>
      <c r="L33" s="5">
        <v>268.5</v>
      </c>
      <c r="M33" s="5">
        <v>257.7</v>
      </c>
      <c r="N33" s="6">
        <v>500</v>
      </c>
      <c r="O33" s="6">
        <v>250</v>
      </c>
      <c r="P33" s="6">
        <v>4629</v>
      </c>
      <c r="Q33" s="6">
        <v>3824</v>
      </c>
      <c r="R33" s="7">
        <v>0.51</v>
      </c>
      <c r="S33" s="6">
        <v>1273</v>
      </c>
      <c r="T33" s="6">
        <v>1412</v>
      </c>
      <c r="U33" s="6">
        <v>4</v>
      </c>
      <c r="V33" s="6">
        <v>4</v>
      </c>
      <c r="W33" s="6">
        <v>920</v>
      </c>
      <c r="X33" s="6">
        <v>953</v>
      </c>
      <c r="Y33" s="6">
        <v>2811</v>
      </c>
      <c r="Z33" s="6">
        <v>2162</v>
      </c>
      <c r="AA33" s="6">
        <v>33787</v>
      </c>
      <c r="AB33" s="6">
        <v>58556</v>
      </c>
      <c r="AC33" s="6">
        <v>1412</v>
      </c>
      <c r="AD33" s="6">
        <v>1273</v>
      </c>
      <c r="AE33" s="6">
        <v>1410</v>
      </c>
      <c r="AF33" s="6">
        <v>1272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SHIELD</cp:lastModifiedBy>
  <cp:revision/>
  <dcterms:created xsi:type="dcterms:W3CDTF">2026-09-17T18:13:40Z</dcterms:created>
  <dcterms:modified xsi:type="dcterms:W3CDTF">2026-09-18T17:32:43Z</dcterms:modified>
  <cp:category/>
  <cp:contentStatus/>
</cp:coreProperties>
</file>